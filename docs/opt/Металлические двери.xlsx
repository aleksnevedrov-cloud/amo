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 по ГОСТ" sheetId="1" state="visible" r:id="rId1"/>
    <sheet xmlns:r="http://schemas.openxmlformats.org/officeDocument/2006/relationships" name="ID" sheetId="2" state="visible" r:id="rId2"/>
    <sheet xmlns:r="http://schemas.openxmlformats.org/officeDocument/2006/relationships" name="Сокращения" sheetId="3" state="visible" r:id="rId3"/>
    <sheet xmlns:r="http://schemas.openxmlformats.org/officeDocument/2006/relationships" name="ГОСТы" sheetId="4" state="visible" r:id="rId4"/>
    <sheet xmlns:r="http://schemas.openxmlformats.org/officeDocument/2006/relationships" name="Размеры" sheetId="5" state="visible" r:id="rId5"/>
    <sheet xmlns:r="http://schemas.openxmlformats.org/officeDocument/2006/relationships" name="Нестандарт" sheetId="6" state="visible" r:id="rId6"/>
    <sheet xmlns:r="http://schemas.openxmlformats.org/officeDocument/2006/relationships" name="Словарь" sheetId="7" state="visible" r:id="rId7"/>
    <sheet xmlns:r="http://schemas.openxmlformats.org/officeDocument/2006/relationships" name="Задача_Клауду" sheetId="8" state="visible" r:id="rId8"/>
    <sheet xmlns:r="http://schemas.openxmlformats.org/officeDocument/2006/relationships" name="Дополнения" sheetId="9" state="visible" r:id="rId9"/>
    <sheet xmlns:r="http://schemas.openxmlformats.org/officeDocument/2006/relationships" name="Подбо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FFFFFF"/>
      <sz val="11"/>
    </font>
    <font>
      <name val="Arial"/>
      <color rgb="FF172B26"/>
      <sz val="10"/>
    </font>
    <font>
      <name val="Arial"/>
      <b val="1"/>
      <color rgb="FF254B40"/>
      <sz val="15"/>
    </font>
    <font>
      <name val="Arial"/>
      <b val="1"/>
      <color rgb="FF254B40"/>
      <sz val="12"/>
    </font>
    <font>
      <name val="Carlito"/>
      <sz val="11"/>
    </font>
    <font>
      <name val="Arial"/>
      <b val="1"/>
      <color rgb="FF172B26"/>
      <sz val="12"/>
    </font>
    <font>
      <name val="Arial"/>
      <color rgb="FF172B26"/>
      <sz val="12"/>
    </font>
  </fonts>
  <fills count="13">
    <fill>
      <patternFill/>
    </fill>
    <fill>
      <patternFill patternType="gray125"/>
    </fill>
    <fill>
      <patternFill patternType="solid">
        <fgColor rgb="FF365B48"/>
      </patternFill>
    </fill>
    <fill>
      <patternFill patternType="solid">
        <fgColor rgb="FFDCE8DF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254B40"/>
      </patternFill>
    </fill>
    <fill>
      <patternFill patternType="solid">
        <fgColor rgb="FFF1F5F2"/>
      </patternFill>
    </fill>
    <fill>
      <patternFill patternType="solid">
        <fgColor rgb="FFF0F5F3"/>
      </patternFill>
    </fill>
    <fill>
      <patternFill patternType="solid">
        <fgColor rgb="FFFFFFFF"/>
      </patternFill>
    </fill>
    <fill>
      <patternFill patternType="solid">
        <fgColor rgb="FFFFF3CF"/>
      </patternFill>
    </fill>
    <fill>
      <patternFill patternType="solid">
        <fgColor rgb="FFECECEC"/>
      </patternFill>
    </fill>
    <fill>
      <patternFill patternType="solid">
        <fgColor rgb="FF174E3B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C6A56A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2" borderId="6" pivotButton="0" quotePrefix="0" xfId="0"/>
    <xf numFmtId="0" fontId="3" fillId="3" borderId="6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" fontId="5" fillId="7" borderId="0" applyAlignment="1" pivotButton="0" quotePrefix="0" xfId="0">
      <alignment vertical="center" wrapText="1"/>
    </xf>
    <xf numFmtId="1" fontId="5" fillId="0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1" fontId="5" fillId="8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1" fontId="5" fillId="9" borderId="0" applyAlignment="1" pivotButton="0" quotePrefix="0" xfId="0">
      <alignment vertical="center" wrapText="1"/>
    </xf>
    <xf numFmtId="1" fontId="5" fillId="10" borderId="0" applyAlignment="1" pivotButton="0" quotePrefix="0" xfId="0">
      <alignment vertical="center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4" fontId="5" fillId="0" borderId="0" applyAlignment="1" pivotButton="0" quotePrefix="0" xfId="0">
      <alignment vertical="center" wrapText="1"/>
    </xf>
    <xf numFmtId="4" fontId="5" fillId="10" borderId="0" applyAlignment="1" pivotButton="0" quotePrefix="0" xfId="0">
      <alignment vertical="center" wrapText="1"/>
    </xf>
    <xf numFmtId="0" fontId="5" fillId="11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1" fillId="12" borderId="0" applyAlignment="1" pivotButton="0" quotePrefix="0" xfId="0">
      <alignment wrapText="1"/>
    </xf>
    <xf numFmtId="4" fontId="5" fillId="10" borderId="0" applyAlignment="1" pivotButton="0" quotePrefix="0" xfId="0">
      <alignment wrapText="1"/>
    </xf>
    <xf numFmtId="4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1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0" customWidth="1" min="4" max="4"/>
    <col width="26" customWidth="1" min="5" max="5"/>
    <col width="34" customWidth="1" min="6" max="6"/>
    <col width="16" customWidth="1" min="7" max="7"/>
    <col width="14" customWidth="1" min="8" max="8"/>
    <col width="24" customWidth="1" min="9" max="9"/>
    <col width="15" customWidth="1" min="10" max="10"/>
    <col width="16" customWidth="1" min="11" max="11"/>
    <col width="22" customWidth="1" min="12" max="12"/>
    <col width="13" customWidth="1" min="13" max="13"/>
    <col width="7" customWidth="1" min="14" max="14"/>
    <col width="40" customWidth="1" min="15" max="15"/>
    <col width="11" customWidth="1" min="16" max="16"/>
    <col width="13" customWidth="1" min="17" max="17"/>
    <col width="13" customWidth="1" min="18" max="18"/>
    <col width="13" customWidth="1" min="19" max="19"/>
    <col width="12" customWidth="1" min="20" max="20"/>
    <col width="13" customWidth="1" min="21" max="21"/>
    <col width="9" customWidth="1" min="22" max="22"/>
    <col width="40" customWidth="1" min="23" max="23"/>
    <col width="60" customWidth="1" min="24" max="24"/>
  </cols>
  <sheetData>
    <row r="1" ht="42" customHeight="1">
      <c r="A1" s="1" t="inlineStr">
        <is>
          <t>№</t>
        </is>
      </c>
      <c r="B1" s="1" t="inlineStr">
        <is>
          <t>Модель (как на сайте)</t>
        </is>
      </c>
      <c r="C1" s="1" t="inlineStr">
        <is>
          <t>Сокращение в названии</t>
        </is>
      </c>
      <c r="D1" s="1" t="inlineStr">
        <is>
          <t>Тип дверей
Глухое/Остекленное</t>
        </is>
      </c>
      <c r="E1" s="1" t="inlineStr">
        <is>
          <t>ГОСТы</t>
        </is>
      </c>
      <c r="F1" s="1" t="inlineStr">
        <is>
          <t>Обозначение по ГОСТ (шаблон)</t>
        </is>
      </c>
      <c r="G1" s="1" t="inlineStr">
        <is>
          <t>Покрытие</t>
        </is>
      </c>
      <c r="H1" s="1" t="inlineStr">
        <is>
          <t>Материал</t>
        </is>
      </c>
      <c r="I1" s="1" t="inlineStr">
        <is>
          <t>Конструкция</t>
        </is>
      </c>
      <c r="J1" s="1" t="inlineStr">
        <is>
          <t>Назначение</t>
        </is>
      </c>
      <c r="K1" s="1" t="inlineStr">
        <is>
          <t>Огнестойкость / звукоизоляция</t>
        </is>
      </c>
      <c r="L1" s="1" t="inlineStr">
        <is>
          <t>Размеры полотна, мм</t>
        </is>
      </c>
      <c r="M1" s="1" t="inlineStr">
        <is>
          <t>Комплектация</t>
        </is>
      </c>
      <c r="N1" s="1" t="inlineStr">
        <is>
          <t>Цветов</t>
        </is>
      </c>
      <c r="O1" s="1" t="inlineStr">
        <is>
          <t>Цвета / исполнения</t>
        </is>
      </c>
      <c r="P1" s="1" t="inlineStr">
        <is>
          <t>Цена полотна / дверного блока, руб</t>
        </is>
      </c>
      <c r="Q1" s="1" t="inlineStr">
        <is>
          <t>Коробка, руб</t>
        </is>
      </c>
      <c r="R1" s="1" t="inlineStr">
        <is>
          <t>Наличник, руб</t>
        </is>
      </c>
      <c r="S1" s="1" t="inlineStr">
        <is>
          <t>Добор, руб</t>
        </is>
      </c>
      <c r="T1" s="1" t="inlineStr">
        <is>
          <t>Порог / планка, руб</t>
        </is>
      </c>
      <c r="U1" s="1" t="inlineStr">
        <is>
          <t>Итого комплект, руб</t>
        </is>
      </c>
      <c r="V1" s="1" t="inlineStr">
        <is>
          <t>Створок</t>
        </is>
      </c>
      <c r="W1" s="1" t="inlineStr">
        <is>
          <t>Входит в базу</t>
        </is>
      </c>
      <c r="X1" s="1" t="inlineStr">
        <is>
          <t>Примечание</t>
        </is>
      </c>
    </row>
    <row r="2" ht="15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 ht="38.25" customHeight="1">
      <c r="A3" s="5" t="n">
        <v>1</v>
      </c>
      <c r="B3" s="5" t="inlineStr">
        <is>
          <t>Дверь техническая ДМ-1</t>
        </is>
      </c>
      <c r="C3" s="5" t="inlineStr">
        <is>
          <t>ДМ-1</t>
        </is>
      </c>
      <c r="D3" s="5" t="inlineStr">
        <is>
          <t>Г</t>
        </is>
      </c>
      <c r="E3" s="5" t="inlineStr">
        <is>
          <t>ГОСТ 31173-2016</t>
        </is>
      </c>
      <c r="F3" s="5" t="inlineStr">
        <is>
          <t>ДСН или ДСВ … 1-польный, Г — ГОСТ 31173-2016 (полную марку уточнить по паспорту)</t>
        </is>
      </c>
      <c r="G3" s="5" t="inlineStr">
        <is>
          <t>Порошок / порошок</t>
        </is>
      </c>
      <c r="H3" s="5" t="inlineStr">
        <is>
          <t>Сталь 1,2–1,5 мм; полотно 60–65 мм</t>
        </is>
      </c>
      <c r="I3" s="5" t="inlineStr">
        <is>
          <t>2 контура, замки 2-го класса</t>
        </is>
      </c>
      <c r="J3" s="5" t="inlineStr">
        <is>
          <t>Для офиса</t>
        </is>
      </c>
      <c r="K3" s="5" t="inlineStr">
        <is>
          <t>—</t>
        </is>
      </c>
      <c r="L3" s="5" t="inlineStr">
        <is>
          <t>860×2050, 860×2600, 960×2050, 960×2600</t>
        </is>
      </c>
      <c r="M3" s="5" t="inlineStr">
        <is>
          <t>Дверной блок (коробка в комплекте), открывание лев/прав</t>
        </is>
      </c>
      <c r="N3" s="5" t="n">
        <v>24</v>
      </c>
      <c r="O3" s="5" t="inlineStr">
        <is>
          <t>12 цветов RAL (9016, 9005, 8017, 7040, 7035, 7004, 6005, 5005, 3003, 3002, 1015, 1014) — с нержавеющей или алюминиевой накладкой (24)</t>
        </is>
      </c>
      <c r="P3" s="6" t="n">
        <v>24100</v>
      </c>
      <c r="Q3" s="5" t="inlineStr">
        <is>
          <t>—</t>
        </is>
      </c>
      <c r="R3" s="5" t="inlineStr">
        <is>
          <t>—</t>
        </is>
      </c>
      <c r="S3" s="5" t="inlineStr">
        <is>
          <t>—</t>
        </is>
      </c>
      <c r="T3" s="5" t="inlineStr">
        <is>
          <t>—</t>
        </is>
      </c>
      <c r="U3" s="7">
        <f>SUM(P3:T3)</f>
        <v/>
      </c>
      <c r="V3" s="5" t="n">
        <v>1</v>
      </c>
      <c r="W3" s="5" t="inlineStr">
        <is>
          <t>Дверной блок (коробка в комплекте), открывание лев/прав</t>
        </is>
      </c>
      <c r="X3" s="5" t="inlineStr">
        <is>
          <t>Рабочая размерная сетка полотна: 860/960 × 2050/2600 мм. Размер проёма или коробки не подставлять вместо полотна.</t>
        </is>
      </c>
    </row>
    <row r="4" ht="38.25" customHeight="1">
      <c r="A4" s="5" t="n">
        <v>2</v>
      </c>
      <c r="B4" s="5" t="inlineStr">
        <is>
          <t>Дверь с терморазрывом ДМ-1</t>
        </is>
      </c>
      <c r="C4" s="5" t="inlineStr">
        <is>
          <t>ДМ-1</t>
        </is>
      </c>
      <c r="D4" s="5" t="inlineStr">
        <is>
          <t>Г</t>
        </is>
      </c>
      <c r="E4" s="5" t="inlineStr">
        <is>
          <t>ГОСТ 31173-2016</t>
        </is>
      </c>
      <c r="F4" s="5" t="inlineStr">
        <is>
          <t>ДСН или ДСВ … 1-польный, Г — ГОСТ 31173-2016 (полную марку уточнить по паспорту)</t>
        </is>
      </c>
      <c r="G4" s="5" t="inlineStr">
        <is>
          <t>Порошок / порошок</t>
        </is>
      </c>
      <c r="H4" s="5" t="inlineStr">
        <is>
          <t>Сталь 1,5 мм; полотно 110 мм</t>
        </is>
      </c>
      <c r="I4" s="5" t="inlineStr">
        <is>
          <t>С терморазрывом, 2 контура, замки 2-го класса</t>
        </is>
      </c>
      <c r="J4" s="5" t="inlineStr">
        <is>
          <t>Для офиса</t>
        </is>
      </c>
      <c r="K4" s="5" t="inlineStr">
        <is>
          <t>—</t>
        </is>
      </c>
      <c r="L4" s="5" t="inlineStr">
        <is>
          <t>860×2050, 860×2600, 960×2050, 960×2600</t>
        </is>
      </c>
      <c r="M4" s="5" t="inlineStr">
        <is>
          <t>Дверной блок (коробка в комплекте), открывание лев/прав</t>
        </is>
      </c>
      <c r="N4" s="5" t="n">
        <v>12</v>
      </c>
      <c r="O4" s="5" t="inlineStr">
        <is>
          <t>12 цветов RAL (9016, 9005, 8017, 7040, 7035, 7004, 6005, 5005, 3003, 3002, 1015, 1014)</t>
        </is>
      </c>
      <c r="P4" s="6" t="n">
        <v>29700</v>
      </c>
      <c r="Q4" s="5" t="inlineStr">
        <is>
          <t>—</t>
        </is>
      </c>
      <c r="R4" s="5" t="inlineStr">
        <is>
          <t>—</t>
        </is>
      </c>
      <c r="S4" s="5" t="inlineStr">
        <is>
          <t>—</t>
        </is>
      </c>
      <c r="T4" s="5" t="inlineStr">
        <is>
          <t>—</t>
        </is>
      </c>
      <c r="U4" s="7">
        <f>SUM(P4:T4)</f>
        <v/>
      </c>
      <c r="V4" s="5" t="n">
        <v>1</v>
      </c>
      <c r="W4" s="5" t="inlineStr">
        <is>
          <t>Дверной блок (коробка в комплекте), открывание лев/прав</t>
        </is>
      </c>
      <c r="X4" s="5" t="inlineStr">
        <is>
          <t>Рабочая размерная сетка полотна: 860/960 × 2050/2600 мм. Размер проёма или коробки не подставлять вместо полотна.</t>
        </is>
      </c>
    </row>
    <row r="5" ht="38.25" customHeight="1">
      <c r="A5" s="5" t="n">
        <v>3</v>
      </c>
      <c r="B5" s="5" t="inlineStr">
        <is>
          <t>Дверь техническая ДМО-1 D300</t>
        </is>
      </c>
      <c r="C5" s="5" t="inlineStr">
        <is>
          <t>ДМО-1, D300</t>
        </is>
      </c>
      <c r="D5" s="5" t="inlineStr">
        <is>
          <t>О (стеклопакет, круглый D300)</t>
        </is>
      </c>
      <c r="E5" s="5" t="inlineStr">
        <is>
          <t>ГОСТ 31173-2016</t>
        </is>
      </c>
      <c r="F5" s="5" t="inlineStr">
        <is>
          <t>ДСН или ДСВ … 1-польный, О — ГОСТ 31173-2016 (полную марку уточнить по паспорту)</t>
        </is>
      </c>
      <c r="G5" s="5" t="inlineStr">
        <is>
          <t>Порошок / порошок</t>
        </is>
      </c>
      <c r="H5" s="5" t="inlineStr">
        <is>
          <t>Сталь 1,2 мм; полотно 60 мм</t>
        </is>
      </c>
      <c r="I5" s="5" t="inlineStr">
        <is>
          <t>Со стеклопакетом, 2 контура, замки 2-го класса</t>
        </is>
      </c>
      <c r="J5" s="5" t="inlineStr">
        <is>
          <t>Техническая</t>
        </is>
      </c>
      <c r="K5" s="5" t="inlineStr">
        <is>
          <t>—</t>
        </is>
      </c>
      <c r="L5" s="5" t="inlineStr">
        <is>
          <t>860×2050, 860×2600, 960×2050, 960×2600</t>
        </is>
      </c>
      <c r="M5" s="5" t="inlineStr">
        <is>
          <t>Дверной блок (коробка в комплекте), открывание лев/прав</t>
        </is>
      </c>
      <c r="N5" s="5" t="n">
        <v>48</v>
      </c>
      <c r="O5" s="5" t="inlineStr">
        <is>
          <t>12 цветов RAL (9016, 9005, 8017, 7040, 7035, 7004, 6005, 5005, 3003, 3002, 1015, 1014) — без накладки, с нержавеющей или алюминиевой накладкой, с вент. решёткой (48)</t>
        </is>
      </c>
      <c r="P5" s="6" t="n">
        <v>23500</v>
      </c>
      <c r="Q5" s="5" t="inlineStr">
        <is>
          <t>—</t>
        </is>
      </c>
      <c r="R5" s="5" t="inlineStr">
        <is>
          <t>—</t>
        </is>
      </c>
      <c r="S5" s="5" t="inlineStr">
        <is>
          <t>—</t>
        </is>
      </c>
      <c r="T5" s="5" t="inlineStr">
        <is>
          <t>—</t>
        </is>
      </c>
      <c r="U5" s="7">
        <f>SUM(P5:T5)</f>
        <v/>
      </c>
      <c r="V5" s="5" t="n">
        <v>1</v>
      </c>
      <c r="W5" s="5" t="inlineStr">
        <is>
          <t>Дверной блок (коробка в комплекте), открывание лев/прав</t>
        </is>
      </c>
      <c r="X5" s="5" t="inlineStr">
        <is>
          <t>Рабочая размерная сетка полотна: 860/960 × 2050/2600 мм. Размер проёма или коробки не подставлять вместо полотна.</t>
        </is>
      </c>
    </row>
    <row r="6" ht="38.25" customHeight="1">
      <c r="A6" s="5" t="n">
        <v>4</v>
      </c>
      <c r="B6" s="5" t="inlineStr">
        <is>
          <t>Дверь двухстворчатая техническая ДМО</t>
        </is>
      </c>
      <c r="C6" s="5" t="inlineStr">
        <is>
          <t>ДМО-1, D300</t>
        </is>
      </c>
      <c r="D6" s="5" t="inlineStr">
        <is>
          <t>О, 2 полотна</t>
        </is>
      </c>
      <c r="E6" s="5" t="inlineStr">
        <is>
          <t>ГОСТ 31173-2016</t>
        </is>
      </c>
      <c r="F6" s="5" t="inlineStr">
        <is>
          <t>ДСН или ДСВ … 2-польный, О — ГОСТ 31173-2016 (полную марку уточнить по паспорту)</t>
        </is>
      </c>
      <c r="G6" s="5" t="inlineStr">
        <is>
          <t>Порошок / порошок</t>
        </is>
      </c>
      <c r="H6" s="5" t="inlineStr">
        <is>
          <t>Сталь 1,2 мм; полотно 60 мм</t>
        </is>
      </c>
      <c r="I6" s="5" t="inlineStr">
        <is>
          <t>Со стеклопакетом, 2 контура, замки 2-го класса</t>
        </is>
      </c>
      <c r="J6" s="5" t="inlineStr">
        <is>
          <t>Техническая</t>
        </is>
      </c>
      <c r="K6" s="5" t="inlineStr">
        <is>
          <t>—</t>
        </is>
      </c>
      <c r="L6" s="5" t="inlineStr">
        <is>
          <t>300+800/900/1000 и 400+1000/1100/1200 × 2050 или 2600</t>
        </is>
      </c>
      <c r="M6" s="5" t="inlineStr">
        <is>
          <t>Дверной блок (коробка в комплекте), открывание лев/прав</t>
        </is>
      </c>
      <c r="N6" s="5" t="n">
        <v>12</v>
      </c>
      <c r="O6" s="5" t="inlineStr">
        <is>
          <t>12 цветов RAL (9016, 9005, 8017, 7040, 7035, 7004, 6005, 5005, 3003, 3002, 1015, 1014) — с алюминиевой накладкой (12)</t>
        </is>
      </c>
      <c r="P6" s="6" t="n">
        <v>37800</v>
      </c>
      <c r="Q6" s="5" t="inlineStr">
        <is>
          <t>—</t>
        </is>
      </c>
      <c r="R6" s="5" t="inlineStr">
        <is>
          <t>—</t>
        </is>
      </c>
      <c r="S6" s="5" t="inlineStr">
        <is>
          <t>—</t>
        </is>
      </c>
      <c r="T6" s="5" t="inlineStr">
        <is>
          <t>—</t>
        </is>
      </c>
      <c r="U6" s="7">
        <f>SUM(P6:T6)</f>
        <v/>
      </c>
      <c r="V6" s="5" t="n">
        <v>2</v>
      </c>
      <c r="W6" s="5" t="inlineStr">
        <is>
          <t>Дверной блок (коробка в комплекте), открывание лев/прав</t>
        </is>
      </c>
      <c r="X6" s="5" t="inlineStr">
        <is>
          <t>Размеры в миллиметрах. Ширина × высота.</t>
        </is>
      </c>
    </row>
    <row r="7" ht="15" customHeight="1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4" t="n"/>
    </row>
    <row r="8" ht="38.25" customHeight="1">
      <c r="A8" s="5" t="n">
        <v>5</v>
      </c>
      <c r="B8" s="5" t="inlineStr">
        <is>
          <t>Входная дверь противопожарная EI30 ДМ-1</t>
        </is>
      </c>
      <c r="C8" s="5" t="inlineStr">
        <is>
          <t>EI30, ДМ-1</t>
        </is>
      </c>
      <c r="D8" s="5" t="inlineStr">
        <is>
          <t>Г</t>
        </is>
      </c>
      <c r="E8" s="5" t="inlineStr">
        <is>
          <t>ГОСТ Р 57327-2016</t>
        </is>
      </c>
      <c r="F8" s="5" t="inlineStr">
        <is>
          <t>EI 30 по ГОСТ Р 57327-2016; 1-польная, Г (марку уточнить по сертификату)</t>
        </is>
      </c>
      <c r="G8" s="5" t="inlineStr">
        <is>
          <t>Порошок / MDF</t>
        </is>
      </c>
      <c r="H8" s="5" t="inlineStr">
        <is>
          <t>Сталь 1,5 мм; полотно 80 мм</t>
        </is>
      </c>
      <c r="I8" s="5" t="inlineStr">
        <is>
          <t>2 контура, замки 2-го класса</t>
        </is>
      </c>
      <c r="J8" s="5" t="inlineStr">
        <is>
          <t>Дом, офис, гостиница, техническая</t>
        </is>
      </c>
      <c r="K8" s="5" t="inlineStr">
        <is>
          <t>EI 30</t>
        </is>
      </c>
      <c r="L8" s="5" t="inlineStr">
        <is>
          <t>860×2050, 860×2600, 960×2050, 960×2600</t>
        </is>
      </c>
      <c r="M8" s="5" t="inlineStr">
        <is>
          <t>Дверной блок (коробка в комплекте), открывание лев/прав</t>
        </is>
      </c>
      <c r="N8" s="5" t="n">
        <v>10</v>
      </c>
      <c r="O8" s="5" t="inlineStr">
        <is>
          <t>RAL — с вент. решёткой или нержавеющей сталью (10)</t>
        </is>
      </c>
      <c r="P8" s="6" t="n">
        <v>29400</v>
      </c>
      <c r="Q8" s="5" t="inlineStr">
        <is>
          <t>—</t>
        </is>
      </c>
      <c r="R8" s="5" t="inlineStr">
        <is>
          <t>—</t>
        </is>
      </c>
      <c r="S8" s="5" t="inlineStr">
        <is>
          <t>—</t>
        </is>
      </c>
      <c r="T8" s="5" t="inlineStr">
        <is>
          <t>—</t>
        </is>
      </c>
      <c r="U8" s="7">
        <f>SUM(P8:T8)</f>
        <v/>
      </c>
      <c r="V8" s="5" t="n">
        <v>1</v>
      </c>
      <c r="W8" s="5" t="inlineStr">
        <is>
          <t>Дверной блок (коробка в комплекте), открывание лев/прав</t>
        </is>
      </c>
      <c r="X8" s="5" t="inlineStr">
        <is>
          <t>Рабочая размерная сетка полотна: 860/960 × 2050/2600 мм. Размер проёма или коробки не подставлять вместо полотна.</t>
        </is>
      </c>
    </row>
    <row r="9" ht="38.25" customHeight="1">
      <c r="A9" s="5" t="n">
        <v>6</v>
      </c>
      <c r="B9" s="5" t="inlineStr">
        <is>
          <t>Входная дверь противопожарная EI60 ДМ-1</t>
        </is>
      </c>
      <c r="C9" s="5" t="inlineStr">
        <is>
          <t>EI60, ДМ-1</t>
        </is>
      </c>
      <c r="D9" s="5" t="inlineStr">
        <is>
          <t>Г</t>
        </is>
      </c>
      <c r="E9" s="5" t="inlineStr">
        <is>
          <t>ГОСТ Р 57327-2016</t>
        </is>
      </c>
      <c r="F9" s="5" t="inlineStr">
        <is>
          <t>EI 60 по ГОСТ Р 57327-2016; 1-польная, Г (марку уточнить по сертификату)</t>
        </is>
      </c>
      <c r="G9" s="5" t="inlineStr">
        <is>
          <t>Порошок / MDF</t>
        </is>
      </c>
      <c r="H9" s="5" t="inlineStr">
        <is>
          <t>Сталь 1,5 мм; полотно 80 мм</t>
        </is>
      </c>
      <c r="I9" s="5" t="inlineStr">
        <is>
          <t>2 контура, замки 2-го класса</t>
        </is>
      </c>
      <c r="J9" s="5" t="inlineStr">
        <is>
          <t>Дом, офис, гостиница, техническая</t>
        </is>
      </c>
      <c r="K9" s="5" t="inlineStr">
        <is>
          <t>EI 60</t>
        </is>
      </c>
      <c r="L9" s="5" t="inlineStr">
        <is>
          <t>860×2050, 860×2600, 960×2050, 960×2600</t>
        </is>
      </c>
      <c r="M9" s="5" t="inlineStr">
        <is>
          <t>Дверной блок (коробка в комплекте), открывание лев/прав</t>
        </is>
      </c>
      <c r="N9" s="5" t="n">
        <v>14</v>
      </c>
      <c r="O9" s="5" t="inlineStr">
        <is>
          <t>RAL — с вент. решёткой или нержавеющей сталью (14)</t>
        </is>
      </c>
      <c r="P9" s="6" t="n">
        <v>32100</v>
      </c>
      <c r="Q9" s="5" t="inlineStr">
        <is>
          <t>—</t>
        </is>
      </c>
      <c r="R9" s="5" t="inlineStr">
        <is>
          <t>—</t>
        </is>
      </c>
      <c r="S9" s="5" t="inlineStr">
        <is>
          <t>—</t>
        </is>
      </c>
      <c r="T9" s="5" t="inlineStr">
        <is>
          <t>—</t>
        </is>
      </c>
      <c r="U9" s="7">
        <f>SUM(P9:T9)</f>
        <v/>
      </c>
      <c r="V9" s="5" t="n">
        <v>1</v>
      </c>
      <c r="W9" s="5" t="inlineStr">
        <is>
          <t>Дверной блок (коробка в комплекте), открывание лев/прав</t>
        </is>
      </c>
      <c r="X9" s="5" t="inlineStr">
        <is>
          <t>Рабочая размерная сетка полотна: 860/960 × 2050/2600 мм. Размер проёма или коробки не подставлять вместо полотна.</t>
        </is>
      </c>
    </row>
    <row r="10" ht="38.25" customHeight="1">
      <c r="A10" s="5" t="n">
        <v>7</v>
      </c>
      <c r="B10" s="5" t="inlineStr">
        <is>
          <t>ДПМ-2-Г-EI30, глухой двупольный блок, порошок</t>
        </is>
      </c>
      <c r="C10" s="5" t="inlineStr">
        <is>
          <t>ДПМ-2-Г-EI30, ДМП-02/30, ДПМ-02/30, металлическая глухая двупольная EI30, двустворчатая противопожарная EI30</t>
        </is>
      </c>
      <c r="D10" s="5" t="inlineStr">
        <is>
          <t>Г, 2 полотна</t>
        </is>
      </c>
      <c r="E10" s="5" t="inlineStr">
        <is>
          <t>ГОСТ Р 57327-2016</t>
        </is>
      </c>
      <c r="F10" s="5" t="inlineStr">
        <is>
          <t>EI30 по ГОСТ Р 57327-2016; 2-польная, Г (марку уточнить по сертификату)</t>
        </is>
      </c>
      <c r="G10" s="5" t="inlineStr">
        <is>
          <t>Порошковое напыление</t>
        </is>
      </c>
      <c r="H10" s="5" t="inlineStr">
        <is>
          <t>Сталь, лист 1,5 мм</t>
        </is>
      </c>
      <c r="I10" s="5" t="inlineStr">
        <is>
          <t>Стальной блок, двупольный</t>
        </is>
      </c>
      <c r="J10" s="5" t="inlineStr">
        <is>
          <t>—</t>
        </is>
      </c>
      <c r="K10" s="5" t="inlineStr">
        <is>
          <t>EI30</t>
        </is>
      </c>
      <c r="L10" s="5" t="inlineStr">
        <is>
          <t>1600 × 2000</t>
        </is>
      </c>
      <c r="M10" s="5" t="inlineStr">
        <is>
          <t>Два полотна, коробка, петли, замок Nemef с ручкой, термоуплотнение. Доводчики, монтаж и доставка отдельно.</t>
        </is>
      </c>
      <c r="N10" s="5" t="n">
        <v>1</v>
      </c>
      <c r="O10" s="5" t="inlineStr">
        <is>
          <t>Серый</t>
        </is>
      </c>
      <c r="P10" s="6" t="n">
        <v>16900</v>
      </c>
      <c r="Q10" s="5" t="inlineStr">
        <is>
          <t>Включена</t>
        </is>
      </c>
      <c r="R10" s="5" t="inlineStr">
        <is>
          <t>—</t>
        </is>
      </c>
      <c r="S10" s="5" t="inlineStr">
        <is>
          <t>—</t>
        </is>
      </c>
      <c r="T10" s="5" t="inlineStr">
        <is>
          <t>—</t>
        </is>
      </c>
      <c r="U10" s="7">
        <f>SUM(P10:T10)</f>
        <v/>
      </c>
      <c r="V10" s="5" t="n">
        <v>2</v>
      </c>
      <c r="W10" s="5" t="inlineStr">
        <is>
          <t>Два полотна, коробка, петли, замок Nemef с ручкой, термоуплотнение. Доводчики, монтаж и доставка отдельно.</t>
        </is>
      </c>
      <c r="X10" s="5" t="inlineStr">
        <is>
          <t>Базовая публичная цена «от» для размера 1600×2000, Ш×В. Для другого размера применяется правило +30%/+100%. Размеры отдельных створок и допустимость исполнения, включая 3000 мм, уточняются на производстве; это не обещание сертификата на любой размер.</t>
        </is>
      </c>
    </row>
    <row r="11" ht="38.25" customHeight="1">
      <c r="A11" s="5" t="n">
        <v>8</v>
      </c>
      <c r="B11" s="5" t="inlineStr">
        <is>
          <t>ДПМ-2-Г-EI60, глухой двупольный блок, порошок</t>
        </is>
      </c>
      <c r="C11" s="5" t="inlineStr">
        <is>
          <t>ДПМ-2-Г-EI60, ДМП-02/60, ДПМ-02/60, металлическая глухая двупольная EI60, двустворчатая противопожарная EI60</t>
        </is>
      </c>
      <c r="D11" s="5" t="inlineStr">
        <is>
          <t>Г, 2 полотна</t>
        </is>
      </c>
      <c r="E11" s="5" t="inlineStr">
        <is>
          <t>ГОСТ Р 57327-2016</t>
        </is>
      </c>
      <c r="F11" s="5" t="inlineStr">
        <is>
          <t>EI60 по ГОСТ Р 57327-2016; 2-польная, Г (марку уточнить по сертификату)</t>
        </is>
      </c>
      <c r="G11" s="5" t="inlineStr">
        <is>
          <t>Порошковое напыление</t>
        </is>
      </c>
      <c r="H11" s="5" t="inlineStr">
        <is>
          <t>Сталь, лист 1,5 мм</t>
        </is>
      </c>
      <c r="I11" s="5" t="inlineStr">
        <is>
          <t>Стальной блок, двупольный</t>
        </is>
      </c>
      <c r="J11" s="5" t="inlineStr">
        <is>
          <t>—</t>
        </is>
      </c>
      <c r="K11" s="5" t="inlineStr">
        <is>
          <t>EI60</t>
        </is>
      </c>
      <c r="L11" s="5" t="inlineStr">
        <is>
          <t>1600 × 2000</t>
        </is>
      </c>
      <c r="M11" s="5" t="inlineStr">
        <is>
          <t>Два полотна, коробка, петли, замок Nemef с ручкой, термоуплотнение. Доводчики, монтаж и доставка отдельно.</t>
        </is>
      </c>
      <c r="N11" s="5" t="n">
        <v>1</v>
      </c>
      <c r="O11" s="5" t="inlineStr">
        <is>
          <t>Серый</t>
        </is>
      </c>
      <c r="P11" s="6" t="n">
        <v>17900</v>
      </c>
      <c r="Q11" s="5" t="inlineStr">
        <is>
          <t>Включена</t>
        </is>
      </c>
      <c r="R11" s="5" t="inlineStr">
        <is>
          <t>—</t>
        </is>
      </c>
      <c r="S11" s="5" t="inlineStr">
        <is>
          <t>—</t>
        </is>
      </c>
      <c r="T11" s="5" t="inlineStr">
        <is>
          <t>—</t>
        </is>
      </c>
      <c r="U11" s="7">
        <f>SUM(P11:T11)</f>
        <v/>
      </c>
      <c r="V11" s="5" t="n">
        <v>2</v>
      </c>
      <c r="W11" s="5" t="inlineStr">
        <is>
          <t>Два полотна, коробка, петли, замок Nemef с ручкой, термоуплотнение. Доводчики, монтаж и доставка отдельно.</t>
        </is>
      </c>
      <c r="X11" s="5" t="inlineStr">
        <is>
          <t>Базовая публичная цена «от» для размера 1600×2000, Ш×В. Для другого размера применяется правило +30%/+100%. Размеры отдельных створок и допустимость исполнения, включая 3000 мм, уточняются на производстве; это не обещание сертификата на любой размер.</t>
        </is>
      </c>
    </row>
    <row r="12" ht="38.25" customHeight="1">
      <c r="A12" s="5" t="n">
        <v>9</v>
      </c>
      <c r="B12" s="5" t="inlineStr">
        <is>
          <t>ДПС-1-Г-СВ-EI60, блок с самозаплавляющейся вентиляцией pd195</t>
        </is>
      </c>
      <c r="C12" s="5" t="inlineStr">
        <is>
          <t>ДПС-1-Г-СВ-EI60-PD195</t>
        </is>
      </c>
      <c r="D12" s="5" t="inlineStr">
        <is>
          <t>Г</t>
        </is>
      </c>
      <c r="E12" s="5" t="inlineStr">
        <is>
          <t>ГОСТ Р 57327-2016</t>
        </is>
      </c>
      <c r="F12" s="5" t="inlineStr">
        <is>
          <t>EI60 по ГОСТ Р 57327-2016; 1-польная, Г (марку уточнить по сертификату)</t>
        </is>
      </c>
      <c r="G12" s="5" t="inlineStr">
        <is>
          <t>Порошковая окраска</t>
        </is>
      </c>
      <c r="H12" s="5" t="inlineStr">
        <is>
          <t>Сталь 1–1,5 мм; базальтовая плита</t>
        </is>
      </c>
      <c r="I12" s="5" t="inlineStr">
        <is>
          <t>Стальной блок, однопольный, с самозаплавляющейся вентиляцией</t>
        </is>
      </c>
      <c r="J12" s="5" t="inlineStr">
        <is>
          <t>—</t>
        </is>
      </c>
      <c r="K12" s="5" t="inlineStr">
        <is>
          <t>EI60</t>
        </is>
      </c>
      <c r="L12" s="5" t="inlineStr">
        <is>
          <t>850 × 2050</t>
        </is>
      </c>
      <c r="M12" s="5" t="inlineStr">
        <is>
          <t>Полотно, коробка, петли, замок Nemef с чёрными ручками, порог и самозаплавляющаяся вентиляционная решётка.</t>
        </is>
      </c>
      <c r="N12" s="5" t="n">
        <v>1</v>
      </c>
      <c r="O12" s="5" t="inlineStr">
        <is>
          <t>По согласованию</t>
        </is>
      </c>
      <c r="P12" s="6" t="n">
        <v>25200</v>
      </c>
      <c r="Q12" s="5" t="inlineStr">
        <is>
          <t>Включена</t>
        </is>
      </c>
      <c r="R12" s="5" t="inlineStr">
        <is>
          <t>—</t>
        </is>
      </c>
      <c r="S12" s="5" t="inlineStr">
        <is>
          <t>—</t>
        </is>
      </c>
      <c r="T12" s="5" t="inlineStr">
        <is>
          <t>—</t>
        </is>
      </c>
      <c r="U12" s="7">
        <f>SUM(P12:T12)</f>
        <v/>
      </c>
      <c r="V12" s="5" t="n">
        <v>1</v>
      </c>
      <c r="W12" s="5" t="inlineStr">
        <is>
          <t>Полотно, коробка, петли, замок Nemef с чёрными ручками, порог и самозаплавляющаяся вентиляционная решётка.</t>
        </is>
      </c>
      <c r="X12" s="5" t="inlineStr">
        <is>
          <t>Цена «от» за коробку 850×2050. Опубликованный диапазон изготовления не является набором стандартных цен. Самозаплавляющаяся решётка в базовой комплектации повторно не добавляется. Размер решётки, запирание ключ/ключ и документы на исполнение уточнить. Не подменяет EI30 автоматически.</t>
        </is>
      </c>
    </row>
    <row r="13" ht="38.25" customHeight="1">
      <c r="A13" s="5" t="n">
        <v>10</v>
      </c>
      <c r="B13" s="5" t="inlineStr">
        <is>
          <t>ДПС-2-Г-У-EI60, утеплённый двупольный блок Клин</t>
        </is>
      </c>
      <c r="C13" s="5" t="inlineStr">
        <is>
          <t>ДПС-2-Г-У-EI60-КЛИН</t>
        </is>
      </c>
      <c r="D13" s="5" t="inlineStr">
        <is>
          <t>Г, 2 полотна</t>
        </is>
      </c>
      <c r="E13" s="5" t="inlineStr">
        <is>
          <t>ГОСТ Р 57327-2016</t>
        </is>
      </c>
      <c r="F13" s="5" t="inlineStr">
        <is>
          <t>EI60 по ГОСТ Р 57327-2016; 2-польная, Г (марку уточнить по сертификату)</t>
        </is>
      </c>
      <c r="G13" s="5" t="inlineStr">
        <is>
          <t>Порошок / порошок</t>
        </is>
      </c>
      <c r="H13" s="5" t="inlineStr">
        <is>
          <t>Сталь 1,5 мм; базальтовая минплита ROCKWOOL</t>
        </is>
      </c>
      <c r="I13" s="5" t="inlineStr">
        <is>
          <t>Стальной блок, двупольный, утеплённый</t>
        </is>
      </c>
      <c r="J13" s="5" t="inlineStr">
        <is>
          <t>—</t>
        </is>
      </c>
      <c r="K13" s="5" t="inlineStr">
        <is>
          <t>EI60</t>
        </is>
      </c>
      <c r="L13" s="5" t="inlineStr">
        <is>
          <t>1200 × 2000</t>
        </is>
      </c>
      <c r="M13" s="5" t="inlineStr">
        <is>
          <t>Двупольный блок, коробка, петли, противопожарный замок Fuaro и чёрные ручки.</t>
        </is>
      </c>
      <c r="N13" s="5" t="n">
        <v>1</v>
      </c>
      <c r="O13" s="5" t="inlineStr">
        <is>
          <t>По согласованию</t>
        </is>
      </c>
      <c r="P13" s="6" t="n">
        <v>24000</v>
      </c>
      <c r="Q13" s="5" t="inlineStr">
        <is>
          <t>Включена</t>
        </is>
      </c>
      <c r="R13" s="5" t="inlineStr">
        <is>
          <t>—</t>
        </is>
      </c>
      <c r="S13" s="5" t="inlineStr">
        <is>
          <t>—</t>
        </is>
      </c>
      <c r="T13" s="5" t="inlineStr">
        <is>
          <t>—</t>
        </is>
      </c>
      <c r="U13" s="7">
        <f>SUM(P13:T13)</f>
        <v/>
      </c>
      <c r="V13" s="5" t="n">
        <v>2</v>
      </c>
      <c r="W13" s="5" t="inlineStr">
        <is>
          <t>Двупольный блок, коробка, петли, противопожарный замок Fuaro и чёрные ручки.</t>
        </is>
      </c>
      <c r="X13" s="5" t="inlineStr">
        <is>
          <t>На странице указана цена за проём 1200×2000 для двупольной модели; общие повторные блоки содержат другой размер. Используется только размер из характеристик конкретного двупольного изделия. Утепление базальтовой плитой включено. Тип цилиндра ключ/ключ и фактические габариты коробки уточнить. Доводчик отдельно.</t>
        </is>
      </c>
    </row>
    <row r="14" ht="15" customHeight="1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4" t="n"/>
    </row>
    <row r="15" ht="38.25" customHeight="1">
      <c r="A15" s="5" t="n">
        <v>11</v>
      </c>
      <c r="B15" s="5" t="inlineStr">
        <is>
          <t>ДПСО-1-EIW60, остеклённый стальной блок Н195</t>
        </is>
      </c>
      <c r="C15" s="5" t="inlineStr">
        <is>
          <t>ДПСО-1-О-EIW60-Н195</t>
        </is>
      </c>
      <c r="D15" s="5" t="inlineStr">
        <is>
          <t>О</t>
        </is>
      </c>
      <c r="E15" s="5" t="inlineStr">
        <is>
          <t>ГОСТ Р 53307-2009; ГОСТ Р 53308-2009</t>
        </is>
      </c>
      <c r="F15" s="5" t="inlineStr">
        <is>
          <t>EIW60 по ГОСТ Р 53307-2009; ГОСТ Р 53308-2009; 1-польная, О (марку уточнить по сертификату)</t>
        </is>
      </c>
      <c r="G15" s="5" t="inlineStr">
        <is>
          <t>Порошковая окраска RAL</t>
        </is>
      </c>
      <c r="H15" s="5" t="inlineStr">
        <is>
          <t>Сталь от 1,2 мм; базальтовая плита 60 мм</t>
        </is>
      </c>
      <c r="I15" s="5" t="inlineStr">
        <is>
          <t>Стальной блок, однопольный, остеклённый</t>
        </is>
      </c>
      <c r="J15" s="5" t="inlineStr">
        <is>
          <t>—</t>
        </is>
      </c>
      <c r="K15" s="5" t="inlineStr">
        <is>
          <t>EIW60</t>
        </is>
      </c>
      <c r="L15" s="5" t="inlineStr">
        <is>
          <t>900 × 2100</t>
        </is>
      </c>
      <c r="M15" s="5" t="inlineStr">
        <is>
          <t>Коробка, полотно, петли, огнестойкое остекление, противопожарный замок и ручка.</t>
        </is>
      </c>
      <c r="N15" s="5" t="n">
        <v>1</v>
      </c>
      <c r="O15" s="5" t="inlineStr">
        <is>
          <t>По согласованию</t>
        </is>
      </c>
      <c r="P15" s="6" t="n">
        <v>30000</v>
      </c>
      <c r="Q15" s="5" t="inlineStr">
        <is>
          <t>Включена</t>
        </is>
      </c>
      <c r="R15" s="5" t="inlineStr">
        <is>
          <t>—</t>
        </is>
      </c>
      <c r="S15" s="5" t="inlineStr">
        <is>
          <t>—</t>
        </is>
      </c>
      <c r="T15" s="5" t="inlineStr">
        <is>
          <t>—</t>
        </is>
      </c>
      <c r="U15" s="7">
        <f>SUM(P15:T15)</f>
        <v/>
      </c>
      <c r="V15" s="5" t="n">
        <v>1</v>
      </c>
      <c r="W15" s="5" t="inlineStr">
        <is>
          <t>Коробка, полотно, петли, огнестойкое остекление, противопожарный замок и ручка.</t>
        </is>
      </c>
      <c r="X15" s="5" t="inlineStr">
        <is>
          <t>Публичная цена «от» за базовый габарит 900×2100. Класс стекла СМ4 и точная площадь остекления не указаны. В карточке есть общие характеристики EI60; обозначение EIW60 сохранено как заявление каталога, документы на требуемый комплект необходимо подтвердить. Фрамуга не включена.</t>
        </is>
      </c>
    </row>
    <row r="16" ht="38.25" customHeight="1">
      <c r="A16" s="5" t="n">
        <v>12</v>
      </c>
      <c r="B16" s="5" t="inlineStr">
        <is>
          <t>ДПСО-1-Ф-EIW60, остеклённый стальной блок с фрамугой Н371</t>
        </is>
      </c>
      <c r="C16" s="5" t="inlineStr">
        <is>
          <t>ДПСО-1-Ф-EIW60-Н371</t>
        </is>
      </c>
      <c r="D16" s="5" t="inlineStr">
        <is>
          <t>О</t>
        </is>
      </c>
      <c r="E16" s="5" t="inlineStr">
        <is>
          <t>ГОСТ Р 53307-2009; ГОСТ Р 53308-2009</t>
        </is>
      </c>
      <c r="F16" s="5" t="inlineStr">
        <is>
          <t>EIW60 по ГОСТ Р 53307-2009; ГОСТ Р 53308-2009; 1-польная, О (марку уточнить по сертификату)</t>
        </is>
      </c>
      <c r="G16" s="5" t="inlineStr">
        <is>
          <t>Порошковая окраска RAL</t>
        </is>
      </c>
      <c r="H16" s="5" t="inlineStr">
        <is>
          <t>Сталь от 1,2 мм; базальтовая плита</t>
        </is>
      </c>
      <c r="I16" s="5" t="inlineStr">
        <is>
          <t>Стальной блок, однопольный, остеклённый, с фрамугой</t>
        </is>
      </c>
      <c r="J16" s="5" t="inlineStr">
        <is>
          <t>—</t>
        </is>
      </c>
      <c r="K16" s="5" t="inlineStr">
        <is>
          <t>EIW60</t>
        </is>
      </c>
      <c r="L16" s="5" t="inlineStr">
        <is>
          <t>900 × 2100</t>
        </is>
      </c>
      <c r="M16" s="5" t="inlineStr">
        <is>
          <t>Остеклённый дверной блок с фрамугой, коробка, петли, противопожарная ручка и замок.</t>
        </is>
      </c>
      <c r="N16" s="5" t="n">
        <v>1</v>
      </c>
      <c r="O16" s="5" t="inlineStr">
        <is>
          <t>По согласованию</t>
        </is>
      </c>
      <c r="P16" s="6" t="n">
        <v>35000</v>
      </c>
      <c r="Q16" s="5" t="inlineStr">
        <is>
          <t>Включена</t>
        </is>
      </c>
      <c r="R16" s="5" t="inlineStr">
        <is>
          <t>—</t>
        </is>
      </c>
      <c r="S16" s="5" t="inlineStr">
        <is>
          <t>—</t>
        </is>
      </c>
      <c r="T16" s="5" t="inlineStr">
        <is>
          <t>—</t>
        </is>
      </c>
      <c r="U16" s="7">
        <f>SUM(P16:T16)</f>
        <v/>
      </c>
      <c r="V16" s="5" t="n">
        <v>1</v>
      </c>
      <c r="W16" s="5" t="inlineStr">
        <is>
          <t>Остеклённый дверной блок с фрамугой, коробка, петли, противопожарная ручка и замок.</t>
        </is>
      </c>
      <c r="X16" s="5" t="inlineStr">
        <is>
          <t>Цена «от» за опубликованный габарит 900×2100, не за дверь 1100×2400. Размер, заполнение и высота фрамуги, стекло СМ4 и остекление не более 25% требуют согласования. Каталог заявляет максимальное остекление; под требование ≤25% автоматически не подбирать.</t>
        </is>
      </c>
    </row>
    <row r="17" ht="38.25" customHeight="1">
      <c r="A17" s="5" t="n">
        <v>13</v>
      </c>
      <c r="B17" s="5" t="inlineStr">
        <is>
          <t>ДПСО-2-001C, стальной остеклённый двупольный EIW30</t>
        </is>
      </c>
      <c r="C17" s="5" t="inlineStr">
        <is>
          <t>ДПСО-2-О-EIW30-001C</t>
        </is>
      </c>
      <c r="D17" s="5" t="inlineStr">
        <is>
          <t>О, 2 полотна</t>
        </is>
      </c>
      <c r="E17" s="5" t="inlineStr">
        <is>
          <t>ГОСТ Р 53307-2009; ГОСТ Р 53308-2009</t>
        </is>
      </c>
      <c r="F17" s="5" t="inlineStr">
        <is>
          <t>EIW30 по ГОСТ Р 53307-2009; ГОСТ Р 53308-2009; 2-польная, О (марку уточнить по сертификату)</t>
        </is>
      </c>
      <c r="G17" s="5" t="inlineStr">
        <is>
          <t>Порошковая окраска</t>
        </is>
      </c>
      <c r="H17" s="5" t="inlineStr">
        <is>
          <t>Сталь; полотно 60 мм</t>
        </is>
      </c>
      <c r="I17" s="5" t="inlineStr">
        <is>
          <t>Стальной блок, двупольный, остеклённый</t>
        </is>
      </c>
      <c r="J17" s="5" t="inlineStr">
        <is>
          <t>—</t>
        </is>
      </c>
      <c r="K17" s="5" t="inlineStr">
        <is>
          <t>EIW30</t>
        </is>
      </c>
      <c r="L17" s="5" t="inlineStr">
        <is>
          <t>1600 × 2050</t>
        </is>
      </c>
      <c r="M17" s="5" t="inlineStr">
        <is>
          <t>Двупольный блок с коробкой и остеклением. Точный комплект фурнитуры согласовать.</t>
        </is>
      </c>
      <c r="N17" s="5" t="n">
        <v>1</v>
      </c>
      <c r="O17" s="5" t="inlineStr">
        <is>
          <t>По согласованию</t>
        </is>
      </c>
      <c r="P17" s="6" t="n">
        <v>35890</v>
      </c>
      <c r="Q17" s="5" t="inlineStr">
        <is>
          <t>Включена</t>
        </is>
      </c>
      <c r="R17" s="5" t="inlineStr">
        <is>
          <t>—</t>
        </is>
      </c>
      <c r="S17" s="5" t="inlineStr">
        <is>
          <t>—</t>
        </is>
      </c>
      <c r="T17" s="5" t="inlineStr">
        <is>
          <t>—</t>
        </is>
      </c>
      <c r="U17" s="7">
        <f>SUM(P17:T17)</f>
        <v/>
      </c>
      <c r="V17" s="5" t="n">
        <v>2</v>
      </c>
      <c r="W17" s="5" t="inlineStr">
        <is>
          <t>Двупольный блок с коробкой и остеклением. Точный комплект фурнитуры согласовать.</t>
        </is>
      </c>
      <c r="X17" s="5" t="inlineStr">
        <is>
          <t>Опубликована комплектация с остеклением до 25%, стеклопакет 28 мм. Это не цена исполнения с остеклением до 50%, СМ4 и фрамугой. Нельзя переносить эту цену на требуемое исполнение без отдельных тарифов. Доводчик указан в названии, количество и состав поставки не уточнены.</t>
        </is>
      </c>
    </row>
    <row r="18" ht="15" customHeight="1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4" t="n"/>
    </row>
    <row r="19" ht="38.25" customHeight="1">
      <c r="A19" s="5" t="n">
        <v>14</v>
      </c>
      <c r="B19" s="5" t="inlineStr">
        <is>
          <t>ДА-1-СП-V60, алюминиевый блок Vidnal V60</t>
        </is>
      </c>
      <c r="C19" s="5" t="inlineStr">
        <is>
          <t>ДА-1-СП-V60, алюминиевая, алюминиевая дверь 1 створки, ДА-1, дверь из алюминиевого профиля 1 створки</t>
        </is>
      </c>
      <c r="D19" s="5" t="inlineStr">
        <is>
          <t>О</t>
        </is>
      </c>
      <c r="E19" s="5" t="inlineStr">
        <is>
          <t>ГОСТ 23747-2015</t>
        </is>
      </c>
      <c r="F19" s="5" t="inlineStr">
        <is>
          <t>1-польный, О — ГОСТ 23747-2015 (марку уточнить по паспорту)</t>
        </is>
      </c>
      <c r="G19" s="5" t="inlineStr">
        <is>
          <t>Покрытие и цвет по согласованию</t>
        </is>
      </c>
      <c r="H19" s="5" t="inlineStr">
        <is>
          <t>Алюминиевый профиль Vidnal V60</t>
        </is>
      </c>
      <c r="I19" s="5" t="inlineStr">
        <is>
          <t>Алюминиевый профиль, однопольный, остеклённый</t>
        </is>
      </c>
      <c r="J19" s="5" t="inlineStr">
        <is>
          <t>—</t>
        </is>
      </c>
      <c r="K19" s="5" t="inlineStr">
        <is>
          <t>—</t>
        </is>
      </c>
      <c r="L19" s="5" t="inlineStr">
        <is>
          <t>900 × 2100</t>
        </is>
      </c>
      <c r="M19" s="5" t="inlineStr">
        <is>
          <t>Блок, профиль Vidnal V60, фурнитура Roto NT, однокамерный стеклопакет. Монтаж, доставка и неоговорённые опции отдельно.</t>
        </is>
      </c>
      <c r="N19" s="5" t="n">
        <v>1</v>
      </c>
      <c r="O19" s="5" t="inlineStr">
        <is>
          <t>Уточнить цвет</t>
        </is>
      </c>
      <c r="P19" s="6" t="n">
        <v>35700</v>
      </c>
      <c r="Q19" s="5" t="inlineStr">
        <is>
          <t>Включена</t>
        </is>
      </c>
      <c r="R19" s="5" t="inlineStr">
        <is>
          <t>—</t>
        </is>
      </c>
      <c r="S19" s="5" t="inlineStr">
        <is>
          <t>—</t>
        </is>
      </c>
      <c r="T19" s="5" t="inlineStr">
        <is>
          <t>—</t>
        </is>
      </c>
      <c r="U19" s="7">
        <f>SUM(P19:T19)</f>
        <v/>
      </c>
      <c r="V19" s="5" t="n">
        <v>1</v>
      </c>
      <c r="W19" s="5" t="inlineStr">
        <is>
          <t>Блок, профиль Vidnal V60, фурнитура Roto NT, однокамерный стеклопакет. Монтаж, доставка и неоговорённые опции отдельно.</t>
        </is>
      </c>
      <c r="X19" s="5" t="inlineStr">
        <is>
          <t>Для двух створок базовое исполнение полуторное. Теплотехнические характеристики, состав стеклопакета, порог, замок, точный состав фурнитуры и размеры створок уточнить. Д1/Д8 — марки проекта, не автоматические синонимы этой модели.</t>
        </is>
      </c>
    </row>
    <row r="20" ht="38.25" customHeight="1">
      <c r="A20" s="5" t="n">
        <v>15</v>
      </c>
      <c r="B20" s="5" t="inlineStr">
        <is>
          <t>ДА-2-СП-V60, алюминиевый блок Vidnal V60</t>
        </is>
      </c>
      <c r="C20" s="5" t="inlineStr">
        <is>
          <t>ДА-2-СП-V60, алюминиевая, алюминиевая дверь 2 створки, ДА-2, дверь из алюминиевого профиля 2 створки</t>
        </is>
      </c>
      <c r="D20" s="5" t="inlineStr">
        <is>
          <t>О, 2 полотна</t>
        </is>
      </c>
      <c r="E20" s="5" t="inlineStr">
        <is>
          <t>ГОСТ 23747-2015</t>
        </is>
      </c>
      <c r="F20" s="5" t="inlineStr">
        <is>
          <t>2-польный, О — ГОСТ 23747-2015 (марку уточнить по паспорту)</t>
        </is>
      </c>
      <c r="G20" s="5" t="inlineStr">
        <is>
          <t>Покрытие и цвет по согласованию</t>
        </is>
      </c>
      <c r="H20" s="5" t="inlineStr">
        <is>
          <t>Алюминиевый профиль Vidnal V60</t>
        </is>
      </c>
      <c r="I20" s="5" t="inlineStr">
        <is>
          <t>Алюминиевый профиль, двупольный, остеклённый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1400 × 2100</t>
        </is>
      </c>
      <c r="M20" s="5" t="inlineStr">
        <is>
          <t>Блок, профиль Vidnal V60, фурнитура Roto NT, однокамерный стеклопакет. Монтаж, доставка и неоговорённые опции отдельно.</t>
        </is>
      </c>
      <c r="N20" s="5" t="n">
        <v>1</v>
      </c>
      <c r="O20" s="5" t="inlineStr">
        <is>
          <t>Уточнить цвет</t>
        </is>
      </c>
      <c r="P20" s="6" t="n">
        <v>55700</v>
      </c>
      <c r="Q20" s="5" t="inlineStr">
        <is>
          <t>Включена</t>
        </is>
      </c>
      <c r="R20" s="5" t="inlineStr">
        <is>
          <t>—</t>
        </is>
      </c>
      <c r="S20" s="5" t="inlineStr">
        <is>
          <t>—</t>
        </is>
      </c>
      <c r="T20" s="5" t="inlineStr">
        <is>
          <t>—</t>
        </is>
      </c>
      <c r="U20" s="7">
        <f>SUM(P20:T20)</f>
        <v/>
      </c>
      <c r="V20" s="5" t="n">
        <v>2</v>
      </c>
      <c r="W20" s="5" t="inlineStr">
        <is>
          <t>Блок, профиль Vidnal V60, фурнитура Roto NT, однокамерный стеклопакет. Монтаж, доставка и неоговорённые опции отдельно.</t>
        </is>
      </c>
      <c r="X20" s="5" t="inlineStr">
        <is>
          <t>Для двух створок базовое исполнение полуторное. Теплотехнические характеристики, состав стеклопакета, порог, замок, точный состав фурнитуры и размеры створок уточнить. Д1/Д8 — марки проекта, не автоматические синонимы этой модели.</t>
        </is>
      </c>
    </row>
    <row r="21" ht="38.25" customHeight="1">
      <c r="A21" s="5" t="n">
        <v>16</v>
      </c>
      <c r="B21" s="5" t="inlineStr">
        <is>
          <t>ДА-1-СПД32-КПТ74, тёплый блок СИАЛ</t>
        </is>
      </c>
      <c r="C21" s="5" t="inlineStr">
        <is>
          <t>ДА-1-О-Т-СИАЛ-СПД32</t>
        </is>
      </c>
      <c r="D21" s="5" t="inlineStr">
        <is>
          <t>О</t>
        </is>
      </c>
      <c r="E21" s="5" t="inlineStr">
        <is>
          <t>ГОСТ 23747-2015</t>
        </is>
      </c>
      <c r="F21" s="5" t="inlineStr">
        <is>
          <t>1-польный, О — ГОСТ 23747-2015 (марку уточнить по паспорту)</t>
        </is>
      </c>
      <c r="G21" s="5" t="inlineStr">
        <is>
          <t>RAL 9016</t>
        </is>
      </c>
      <c r="H21" s="5" t="inlineStr">
        <is>
          <t>Тёплый алюминиевый профиль СИАЛ КПТ74</t>
        </is>
      </c>
      <c r="I21" s="5" t="inlineStr">
        <is>
          <t>Алюминиевый профиль с терморазрывом, однопольный, остеклённый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900 × 2000</t>
        </is>
      </c>
      <c r="M21" s="5" t="inlineStr">
        <is>
          <t>Блок, нажимной гарнитур, замок ключ/ключ, 3 петли, СПД32 4-10-4-10-4.</t>
        </is>
      </c>
      <c r="N21" s="5" t="n">
        <v>1</v>
      </c>
      <c r="O21" s="5" t="inlineStr">
        <is>
          <t>RAL 9016</t>
        </is>
      </c>
      <c r="P21" s="6" t="n">
        <v>47700</v>
      </c>
      <c r="Q21" s="5" t="inlineStr">
        <is>
          <t>Включена</t>
        </is>
      </c>
      <c r="R21" s="5" t="inlineStr">
        <is>
          <t>—</t>
        </is>
      </c>
      <c r="S21" s="5" t="inlineStr">
        <is>
          <t>—</t>
        </is>
      </c>
      <c r="T21" s="5" t="inlineStr">
        <is>
          <t>—</t>
        </is>
      </c>
      <c r="U21" s="7">
        <f>SUM(P21:T21)</f>
        <v/>
      </c>
      <c r="V21" s="5" t="n">
        <v>1</v>
      </c>
      <c r="W21" s="5" t="inlineStr">
        <is>
          <t>Блок, нажимной гарнитур, замок ключ/ключ, 3 петли, СПД32 4-10-4-10-4.</t>
        </is>
      </c>
      <c r="X21" s="5" t="inlineStr">
        <is>
          <t>НЕ ПРИМЕНЯТЬ: ориентир из другого региона. Для заявки использовать московские сметные профили. Белый RAL 9016; стеклопакет 32 мм, не требуемые 40 мм с закалёнными стёклами. Фрамуга, точный RAL 7024, доводчик, порог и изменение стеклопакета не оценены. Не назначать цену этих опций равной нулю.</t>
        </is>
      </c>
    </row>
    <row r="22" ht="38.25" customHeight="1">
      <c r="A22" s="5" t="n">
        <v>17</v>
      </c>
      <c r="B22" s="5" t="inlineStr">
        <is>
          <t>ДА-2-СПД32-КПТ74, тёплый двупольный блок СИАЛ</t>
        </is>
      </c>
      <c r="C22" s="5" t="inlineStr">
        <is>
          <t>ДА-2-О-Т-СИАЛ-СПД32</t>
        </is>
      </c>
      <c r="D22" s="5" t="inlineStr">
        <is>
          <t>О, 2 полотна</t>
        </is>
      </c>
      <c r="E22" s="5" t="inlineStr">
        <is>
          <t>ГОСТ 23747-2015</t>
        </is>
      </c>
      <c r="F22" s="5" t="inlineStr">
        <is>
          <t>2-польный, О — ГОСТ 23747-2015 (марку уточнить по паспорту)</t>
        </is>
      </c>
      <c r="G22" s="5" t="inlineStr">
        <is>
          <t>RAL 9016</t>
        </is>
      </c>
      <c r="H22" s="5" t="inlineStr">
        <is>
          <t>Тёплый алюминиевый профиль СИАЛ КПТ74</t>
        </is>
      </c>
      <c r="I22" s="5" t="inlineStr">
        <is>
          <t>Алюминиевый профиль с терморазрывом, двупольный, остеклённый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1300 × 2000</t>
        </is>
      </c>
      <c r="M22" s="5" t="inlineStr">
        <is>
          <t>Двупольный блок, нажимной гарнитур, замок ключ/ключ, 5 петель, СПД32 4-10-4-10-4.</t>
        </is>
      </c>
      <c r="N22" s="5" t="n">
        <v>1</v>
      </c>
      <c r="O22" s="5" t="inlineStr">
        <is>
          <t>RAL 9016</t>
        </is>
      </c>
      <c r="P22" s="6" t="n">
        <v>75400</v>
      </c>
      <c r="Q22" s="5" t="inlineStr">
        <is>
          <t>Включена</t>
        </is>
      </c>
      <c r="R22" s="5" t="inlineStr">
        <is>
          <t>—</t>
        </is>
      </c>
      <c r="S22" s="5" t="inlineStr">
        <is>
          <t>—</t>
        </is>
      </c>
      <c r="T22" s="5" t="inlineStr">
        <is>
          <t>—</t>
        </is>
      </c>
      <c r="U22" s="7">
        <f>SUM(P22:T22)</f>
        <v/>
      </c>
      <c r="V22" s="5" t="n">
        <v>2</v>
      </c>
      <c r="W22" s="5" t="inlineStr">
        <is>
          <t>Двупольный блок, нажимной гарнитур, замок ключ/ключ, 5 петель, СПД32 4-10-4-10-4.</t>
        </is>
      </c>
      <c r="X22" s="5" t="inlineStr">
        <is>
          <t>НЕ ПРИМЕНЯТЬ: ориентир из другого региона. Для заявки использовать московские сметные профили. Точная разбивка створок, равнопольное исполнение, фрамуга, СПД40 с заданной формулой, RAL 7024, шпингалеты, порог, координатор и доводчики требуют отдельных подтверждённых тарифов. Базовая цена не покрывает эти опции.</t>
        </is>
      </c>
    </row>
    <row r="23" ht="38.25" customHeight="1">
      <c r="A23" s="5" t="n">
        <v>18</v>
      </c>
      <c r="B23" s="5" t="inlineStr">
        <is>
          <t>ДА-2-Ф-W62, алюминиевый блок Alutech с фрамугой</t>
        </is>
      </c>
      <c r="C23" s="5" t="inlineStr">
        <is>
          <t>ДА-2-О-Ф-ALUTECH-W62</t>
        </is>
      </c>
      <c r="D23" s="5" t="inlineStr">
        <is>
          <t>О, 2 полотна</t>
        </is>
      </c>
      <c r="E23" s="5" t="inlineStr">
        <is>
          <t>ГОСТ 23747-2015</t>
        </is>
      </c>
      <c r="F23" s="5" t="inlineStr">
        <is>
          <t>2-польный, О — ГОСТ 23747-2015 (марку уточнить по паспорту)</t>
        </is>
      </c>
      <c r="G23" s="5" t="inlineStr">
        <is>
          <t>Белый</t>
        </is>
      </c>
      <c r="H23" s="5" t="inlineStr">
        <is>
          <t>Алюминиевый профиль Alutech W62</t>
        </is>
      </c>
      <c r="I23" s="5" t="inlineStr">
        <is>
          <t>Алюминиевый профиль, двупольный, остеклённый, с фрамугой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1500 × 2700</t>
        </is>
      </c>
      <c r="M23" s="5" t="inlineStr">
        <is>
          <t>Двухстворчатая алюминиевая дверь с фрамугой; состав фурнитуры согласовать.</t>
        </is>
      </c>
      <c r="N23" s="5" t="n">
        <v>1</v>
      </c>
      <c r="O23" s="5" t="inlineStr">
        <is>
          <t>Белый</t>
        </is>
      </c>
      <c r="P23" s="6" t="n">
        <v>72000</v>
      </c>
      <c r="Q23" s="5" t="inlineStr">
        <is>
          <t>Включена</t>
        </is>
      </c>
      <c r="R23" s="5" t="inlineStr">
        <is>
          <t>—</t>
        </is>
      </c>
      <c r="S23" s="5" t="inlineStr">
        <is>
          <t>—</t>
        </is>
      </c>
      <c r="T23" s="5" t="inlineStr">
        <is>
          <t>—</t>
        </is>
      </c>
      <c r="U23" s="7">
        <f>SUM(P23:T23)</f>
        <v/>
      </c>
      <c r="V23" s="5" t="n">
        <v>2</v>
      </c>
      <c r="W23" s="5" t="inlineStr">
        <is>
          <t>Двухстворчатая алюминиевая дверь с фрамугой; состав фурнитуры согласовать.</t>
        </is>
      </c>
      <c r="X23" s="5" t="inlineStr">
        <is>
          <t>Цена опубликованного белого блока 1500×2700 с фрамугой. Формула стеклопакета, равные створки, RAL 7024, замок, порог, шпингалеты, координатор закрывания и доводчики в цену документально не раскрыты. Это ценовой вариант другого профиля, применение как аналога СИАЛ требует согласования.</t>
        </is>
      </c>
    </row>
    <row r="24" ht="38.25" customHeight="1">
      <c r="A24" s="5" t="n">
        <v>19</v>
      </c>
      <c r="B24" s="5" t="inlineStr">
        <is>
          <t>ДА-1-Г-Т-V60, тёплый глухой блок Vidnal</t>
        </is>
      </c>
      <c r="C24" s="5" t="inlineStr">
        <is>
          <t>ДА-1-Г-Т-VIDNAL-V60</t>
        </is>
      </c>
      <c r="D24" s="5" t="inlineStr">
        <is>
          <t>Г</t>
        </is>
      </c>
      <c r="E24" s="5" t="inlineStr">
        <is>
          <t>ГОСТ 23747-2015</t>
        </is>
      </c>
      <c r="F24" s="5" t="inlineStr">
        <is>
          <t>1-польный, Г — ГОСТ 23747-2015 (марку уточнить по паспорту)</t>
        </is>
      </c>
      <c r="G24" s="5" t="inlineStr">
        <is>
          <t>Цвет по согласованию</t>
        </is>
      </c>
      <c r="H24" s="5" t="inlineStr">
        <is>
          <t>Тёплый профиль Vidnal V60; сэндвич-панель</t>
        </is>
      </c>
      <c r="I24" s="5" t="inlineStr">
        <is>
          <t>Алюминиевый профиль с терморазрывом, однопольный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900 × 2100</t>
        </is>
      </c>
      <c r="M24" s="5" t="inlineStr">
        <is>
          <t>Глухой одностворчатый блок с сэндвич-панелью и усиленными ручками-скобами.</t>
        </is>
      </c>
      <c r="N24" s="5" t="n">
        <v>1</v>
      </c>
      <c r="O24" s="5" t="inlineStr">
        <is>
          <t>По согласованию</t>
        </is>
      </c>
      <c r="P24" s="6" t="n">
        <v>28127</v>
      </c>
      <c r="Q24" s="5" t="inlineStr">
        <is>
          <t>Включена</t>
        </is>
      </c>
      <c r="R24" s="5" t="inlineStr">
        <is>
          <t>—</t>
        </is>
      </c>
      <c r="S24" s="5" t="inlineStr">
        <is>
          <t>—</t>
        </is>
      </c>
      <c r="T24" s="5" t="inlineStr">
        <is>
          <t>—</t>
        </is>
      </c>
      <c r="U24" s="7">
        <f>SUM(P24:T24)</f>
        <v/>
      </c>
      <c r="V24" s="5" t="n">
        <v>1</v>
      </c>
      <c r="W24" s="5" t="inlineStr">
        <is>
          <t>Глухой одностворчатый блок с сэндвич-панелью и усиленными ручками-скобами.</t>
        </is>
      </c>
      <c r="X24" s="5" t="inlineStr">
        <is>
          <t>Цена без монтажа. Импост, требуемый СИАЛ или согласованный аналог, RAL 7024, доводчик, порог и замок ключ/завёртка не подтверждены в составе. Не использовать как полное соответствие этим требованиям.</t>
        </is>
      </c>
    </row>
    <row r="25" ht="38.25" customHeight="1">
      <c r="A25" s="5" t="n">
        <v>20</v>
      </c>
      <c r="B25" s="5" t="inlineStr">
        <is>
          <t>ДА-1-Г-И-Т, сметный тёплый блок с импостом</t>
        </is>
      </c>
      <c r="C25" s="5" t="inlineStr">
        <is>
          <t>ДА-1-Г-И-Т-СМЕТА</t>
        </is>
      </c>
      <c r="D25" s="5" t="inlineStr">
        <is>
          <t>Г</t>
        </is>
      </c>
      <c r="E25" s="5" t="inlineStr">
        <is>
          <t>ГОСТ 23747-2015</t>
        </is>
      </c>
      <c r="F25" s="5" t="inlineStr">
        <is>
          <t>1-польный, Г — ГОСТ 23747-2015 (марку уточнить по паспорту)</t>
        </is>
      </c>
      <c r="G25" s="5" t="inlineStr">
        <is>
          <t>RAL 7024 в сметном исполнении</t>
        </is>
      </c>
      <c r="H25" s="5" t="inlineStr">
        <is>
          <t>Тёплый алюминиевый профиль, глухая панель, импост</t>
        </is>
      </c>
      <c r="I25" s="5" t="inlineStr">
        <is>
          <t>Алюминиевый профиль с терморазрывом, однопольный, с импостом</t>
        </is>
      </c>
      <c r="J25" s="5" t="inlineStr">
        <is>
          <t>—</t>
        </is>
      </c>
      <c r="K25" s="5" t="inlineStr">
        <is>
          <t>—</t>
        </is>
      </c>
      <c r="L25" s="5" t="inlineStr">
        <is>
          <t>900 × 2100</t>
        </is>
      </c>
      <c r="M25" s="5" t="inlineStr">
        <is>
          <t>Сметная база тёплой рамной конструкции с глухой панелью, импостом, порогом и базовой фурнитурой. Цилиндр ключ/завёртка, доводчик и окраска отдельно.</t>
        </is>
      </c>
      <c r="N25" s="5" t="n">
        <v>1</v>
      </c>
      <c r="O25" s="5" t="inlineStr">
        <is>
          <t>RAL 7024</t>
        </is>
      </c>
      <c r="P25" s="6" t="n">
        <v>37800</v>
      </c>
      <c r="Q25" s="5" t="inlineStr">
        <is>
          <t>Включена</t>
        </is>
      </c>
      <c r="R25" s="5" t="inlineStr">
        <is>
          <t>—</t>
        </is>
      </c>
      <c r="S25" s="5" t="inlineStr">
        <is>
          <t>—</t>
        </is>
      </c>
      <c r="T25" s="5" t="inlineStr">
        <is>
          <t>—</t>
        </is>
      </c>
      <c r="U25" s="7">
        <f>SUM(P25:T25)</f>
        <v/>
      </c>
      <c r="V25" s="5" t="n">
        <v>1</v>
      </c>
      <c r="W25" s="5" t="inlineStr">
        <is>
          <t>Сметная база тёплой рамной конструкции с глухой панелью, импостом, порогом и базовой фурнитурой. Цилиндр ключ/завёртка, доводчик и окраска отдельно.</t>
        </is>
      </c>
      <c r="X25" s="5" t="inlineStr">
        <is>
          <t>Расчётная база 0,9×2,1×20000=37800 руб. по московскому/подмосковному ориентиру тёплого алюминиевого блока. Это сметная цена конструкции с импостом, не опубликованная цена конкретного артикула. Конкретный профиль или аналог СИАЛ, импост, фурнитура и порог согласуются на производстве.</t>
        </is>
      </c>
    </row>
  </sheetData>
  <mergeCells count="4">
    <mergeCell ref="A18:X18"/>
    <mergeCell ref="A14:X14"/>
    <mergeCell ref="A2:X2"/>
    <mergeCell ref="A7:X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12" customWidth="1" min="4" max="4"/>
    <col width="14" customWidth="1" min="5" max="5"/>
    <col width="12" customWidth="1" min="6" max="6"/>
    <col width="12" customWidth="1" min="7" max="7"/>
    <col width="11" customWidth="1" min="8" max="8"/>
    <col width="11" customWidth="1" min="9" max="9"/>
    <col width="14" customWidth="1" min="10" max="10"/>
    <col width="14" customWidth="1" min="11" max="11"/>
    <col width="14" customWidth="1" min="12" max="12"/>
    <col width="90" customWidth="1" min="13" max="13"/>
  </cols>
  <sheetData>
    <row r="1">
      <c r="A1" s="8" t="inlineStr">
        <is>
          <t>№</t>
        </is>
      </c>
      <c r="B1" s="8" t="inlineStr">
        <is>
          <t>Модель</t>
        </is>
      </c>
      <c r="C1" s="8" t="inlineStr">
        <is>
          <t>ID</t>
        </is>
      </c>
      <c r="D1" s="8" t="inlineStr">
        <is>
          <t>Единица базы</t>
        </is>
      </c>
      <c r="E1" s="8" t="inlineStr">
        <is>
          <t>Статус наличников</t>
        </is>
      </c>
      <c r="F1" s="8" t="inlineStr">
        <is>
          <t>Статус добора</t>
        </is>
      </c>
      <c r="G1" s="8" t="inlineStr">
        <is>
          <t>Статус порога</t>
        </is>
      </c>
      <c r="H1" s="8" t="inlineStr">
        <is>
          <t>Семейство</t>
        </is>
      </c>
      <c r="I1" s="8" t="inlineStr">
        <is>
          <t>Заполнение</t>
        </is>
      </c>
      <c r="J1" s="8" t="inlineStr">
        <is>
          <t>Основание размера</t>
        </is>
      </c>
      <c r="K1" s="8" t="inlineStr">
        <is>
          <t>Режим геометрии</t>
        </is>
      </c>
      <c r="L1" s="8" t="inlineStr">
        <is>
          <t>Статус коробки</t>
        </is>
      </c>
      <c r="M1" s="9" t="inlineStr">
        <is>
          <t>Комментарий для товара (что агент берёт с других листов)</t>
        </is>
      </c>
    </row>
    <row r="2">
      <c r="A2" s="5" t="n">
        <v>1</v>
      </c>
      <c r="B2" s="5" t="inlineStr">
        <is>
          <t>Дверь техническая ДМ-1</t>
        </is>
      </c>
      <c r="C2" s="5" t="inlineStr">
        <is>
          <t>MET-001</t>
        </is>
      </c>
      <c r="D2" s="5" t="inlineStr">
        <is>
          <t>block</t>
        </is>
      </c>
      <c r="E2" s="5" t="inlineStr">
        <is>
          <t>not_priced</t>
        </is>
      </c>
      <c r="F2" s="5" t="inlineStr">
        <is>
          <t>not_priced</t>
        </is>
      </c>
      <c r="G2" s="5" t="inlineStr">
        <is>
          <t>not_priced</t>
        </is>
      </c>
      <c r="H2" s="5" t="inlineStr">
        <is>
          <t>steel</t>
        </is>
      </c>
      <c r="I2" s="5" t="inlineStr">
        <is>
          <t>solid</t>
        </is>
      </c>
      <c r="J2" s="5" t="inlineStr">
        <is>
          <t>leaf</t>
        </is>
      </c>
      <c r="K2" s="5" t="inlineStr">
        <is>
          <t>single</t>
        </is>
      </c>
      <c r="L2" s="5" t="inlineStr">
        <is>
          <t>included</t>
        </is>
      </c>
      <c r="M2" s="5" t="inlineStr">
        <is>
          <t>Единица цены: дверной блок; основание размера: полотно; однопольная;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(4): 860×2050; 860×2600; 960×2050; 960×2600.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ДМ-1.</t>
        </is>
      </c>
    </row>
    <row r="3">
      <c r="A3" s="5" t="n">
        <v>2</v>
      </c>
      <c r="B3" s="5" t="inlineStr">
        <is>
          <t>Дверь с терморазрывом ДМ-1</t>
        </is>
      </c>
      <c r="C3" s="5" t="inlineStr">
        <is>
          <t>MET-002</t>
        </is>
      </c>
      <c r="D3" s="5" t="inlineStr">
        <is>
          <t>block</t>
        </is>
      </c>
      <c r="E3" s="5" t="inlineStr">
        <is>
          <t>not_priced</t>
        </is>
      </c>
      <c r="F3" s="5" t="inlineStr">
        <is>
          <t>not_priced</t>
        </is>
      </c>
      <c r="G3" s="5" t="inlineStr">
        <is>
          <t>not_priced</t>
        </is>
      </c>
      <c r="H3" s="5" t="inlineStr">
        <is>
          <t>steel</t>
        </is>
      </c>
      <c r="I3" s="5" t="inlineStr">
        <is>
          <t>solid</t>
        </is>
      </c>
      <c r="J3" s="5" t="inlineStr">
        <is>
          <t>leaf</t>
        </is>
      </c>
      <c r="K3" s="5" t="inlineStr">
        <is>
          <t>single</t>
        </is>
      </c>
      <c r="L3" s="5" t="inlineStr">
        <is>
          <t>included</t>
        </is>
      </c>
      <c r="M3" s="5" t="inlineStr">
        <is>
          <t>Единица цены: дверной блок; основание размера: полотно; однопольная;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(4): 860×2050; 860×2600; 960×2050; 960×2600.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ДМ-1.</t>
        </is>
      </c>
    </row>
    <row r="4">
      <c r="A4" s="5" t="n">
        <v>3</v>
      </c>
      <c r="B4" s="5" t="inlineStr">
        <is>
          <t>Дверь техническая ДМО-1 D300</t>
        </is>
      </c>
      <c r="C4" s="5" t="inlineStr">
        <is>
          <t>MET-003</t>
        </is>
      </c>
      <c r="D4" s="5" t="inlineStr">
        <is>
          <t>block</t>
        </is>
      </c>
      <c r="E4" s="5" t="inlineStr">
        <is>
          <t>not_priced</t>
        </is>
      </c>
      <c r="F4" s="5" t="inlineStr">
        <is>
          <t>not_priced</t>
        </is>
      </c>
      <c r="G4" s="5" t="inlineStr">
        <is>
          <t>not_priced</t>
        </is>
      </c>
      <c r="H4" s="5" t="inlineStr">
        <is>
          <t>steel</t>
        </is>
      </c>
      <c r="I4" s="5" t="inlineStr">
        <is>
          <t>glazed</t>
        </is>
      </c>
      <c r="J4" s="5" t="inlineStr">
        <is>
          <t>leaf</t>
        </is>
      </c>
      <c r="K4" s="5" t="inlineStr">
        <is>
          <t>single</t>
        </is>
      </c>
      <c r="L4" s="5" t="inlineStr">
        <is>
          <t>included</t>
        </is>
      </c>
      <c r="M4" s="5" t="inlineStr">
        <is>
          <t>Единица цены: дверной блок; основание размера: полотно; однопольная;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(4): 860×2050; 860×2600; 960×2050; 960×2600.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ДМО-1; D300.</t>
        </is>
      </c>
    </row>
    <row r="5">
      <c r="A5" s="5" t="n">
        <v>4</v>
      </c>
      <c r="B5" s="5" t="inlineStr">
        <is>
          <t>Дверь двухстворчатая техническая ДМО</t>
        </is>
      </c>
      <c r="C5" s="5" t="inlineStr">
        <is>
          <t>MET-004</t>
        </is>
      </c>
      <c r="D5" s="5" t="inlineStr">
        <is>
          <t>block</t>
        </is>
      </c>
      <c r="E5" s="5" t="inlineStr">
        <is>
          <t>not_priced</t>
        </is>
      </c>
      <c r="F5" s="5" t="inlineStr">
        <is>
          <t>not_priced</t>
        </is>
      </c>
      <c r="G5" s="5" t="inlineStr">
        <is>
          <t>not_priced</t>
        </is>
      </c>
      <c r="H5" s="5" t="inlineStr">
        <is>
          <t>steel</t>
        </is>
      </c>
      <c r="I5" s="5" t="inlineStr">
        <is>
          <t>glazed</t>
        </is>
      </c>
      <c r="J5" s="5" t="inlineStr">
        <is>
          <t>leaf_pair</t>
        </is>
      </c>
      <c r="K5" s="5" t="inlineStr">
        <is>
          <t>pair</t>
        </is>
      </c>
      <c r="L5" s="5" t="inlineStr">
        <is>
          <t>included</t>
        </is>
      </c>
      <c r="M5" s="5" t="inlineStr">
        <is>
          <t>Единица цены: дверной блок; основание размера: пара полотен; двупольная (пара);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(12): 1100×2050 [300,800]; 1200×2050 [300,900]; 1300×2050 [300,1000]; 1400×2050 [400,1000]; 1500×2050 [400,1100]; 1600×2050 [400,1200]; 1100×2600 [300,800]; 1200×2600 [300,900]; 1300×2600 [300,1000]; 1400×2600 [400,1000]; 1500×2600 [400,1100]; 1600×2600 [400,1200].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ДМО-1; D300.</t>
        </is>
      </c>
    </row>
    <row r="6">
      <c r="A6" s="5" t="n">
        <v>5</v>
      </c>
      <c r="B6" s="5" t="inlineStr">
        <is>
          <t>Входная дверь противопожарная EI30 ДМ-1</t>
        </is>
      </c>
      <c r="C6" s="5" t="inlineStr">
        <is>
          <t>MET-005</t>
        </is>
      </c>
      <c r="D6" s="5" t="inlineStr">
        <is>
          <t>block</t>
        </is>
      </c>
      <c r="E6" s="5" t="inlineStr">
        <is>
          <t>not_priced</t>
        </is>
      </c>
      <c r="F6" s="5" t="inlineStr">
        <is>
          <t>not_priced</t>
        </is>
      </c>
      <c r="G6" s="5" t="inlineStr">
        <is>
          <t>not_priced</t>
        </is>
      </c>
      <c r="H6" s="5" t="inlineStr">
        <is>
          <t>steel</t>
        </is>
      </c>
      <c r="I6" s="5" t="inlineStr">
        <is>
          <t>solid</t>
        </is>
      </c>
      <c r="J6" s="5" t="inlineStr">
        <is>
          <t>leaf</t>
        </is>
      </c>
      <c r="K6" s="5" t="inlineStr">
        <is>
          <t>single</t>
        </is>
      </c>
      <c r="L6" s="5" t="inlineStr">
        <is>
          <t>included</t>
        </is>
      </c>
      <c r="M6" s="5" t="inlineStr">
        <is>
          <t>Единица цены: дверной блок; основание размера: полотно; однопольная;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(4): 860×2050; 860×2600; 960×2050; 960×2600.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EI30; ДМ-1.
Условия цены: ; estimate_profiles: EI30-VENT.
Фурнитура/опции для модели: OPT-008 FIREFIX, огнестойкий вентиляционный вкладыш 100×100×40 — 1714 ₽/шт; OPT-009 Заводской узел самозаплавляющейся вентиляции: жалюзи, вырез, усиление, сборка — цены нет ₽/шт; OPT-018 Полный огнестойкий вентиляционный узел, сметный ориентир — 6500 ₽/шт; OPT-027 Цилиндр ключ/ключ, ценовой эталон Apecs SM-60-AB — 1210 ₽/шт.</t>
        </is>
      </c>
    </row>
    <row r="7">
      <c r="A7" s="5" t="n">
        <v>6</v>
      </c>
      <c r="B7" s="5" t="inlineStr">
        <is>
          <t>Входная дверь противопожарная EI60 ДМ-1</t>
        </is>
      </c>
      <c r="C7" s="5" t="inlineStr">
        <is>
          <t>MET-006</t>
        </is>
      </c>
      <c r="D7" s="5" t="inlineStr">
        <is>
          <t>block</t>
        </is>
      </c>
      <c r="E7" s="5" t="inlineStr">
        <is>
          <t>not_priced</t>
        </is>
      </c>
      <c r="F7" s="5" t="inlineStr">
        <is>
          <t>not_priced</t>
        </is>
      </c>
      <c r="G7" s="5" t="inlineStr">
        <is>
          <t>not_priced</t>
        </is>
      </c>
      <c r="H7" s="5" t="inlineStr">
        <is>
          <t>steel</t>
        </is>
      </c>
      <c r="I7" s="5" t="inlineStr">
        <is>
          <t>solid</t>
        </is>
      </c>
      <c r="J7" s="5" t="inlineStr">
        <is>
          <t>leaf</t>
        </is>
      </c>
      <c r="K7" s="5" t="inlineStr">
        <is>
          <t>single</t>
        </is>
      </c>
      <c r="L7" s="5" t="inlineStr">
        <is>
          <t>included</t>
        </is>
      </c>
      <c r="M7" s="5" t="inlineStr">
        <is>
          <t>Единица цены: дверной блок; основание размера: полотно; однопольная;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(4): 860×2050; 860×2600; 960×2050; 960×2600.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EI60; ДМ-1.
Фурнитура/опции для модели: OPT-008 FIREFIX, огнестойкий вентиляционный вкладыш 100×100×40 — 1714 ₽/шт; OPT-009 Заводской узел самозаплавляющейся вентиляции: жалюзи, вырез, усиление, сборка — цены нет ₽/шт; OPT-018 Полный огнестойкий вентиляционный узел, сметный ориентир — 6500 ₽/шт; OPT-027 Цилиндр ключ/ключ, ценовой эталон Apecs SM-60-AB — 1210 ₽/шт.</t>
        </is>
      </c>
    </row>
    <row r="8">
      <c r="A8" s="5" t="n">
        <v>7</v>
      </c>
      <c r="B8" s="5" t="inlineStr">
        <is>
          <t>ДПМ-2-Г-EI30, глухой двупольный блок, порошок</t>
        </is>
      </c>
      <c r="C8" s="5" t="inlineStr">
        <is>
          <t>MET-007</t>
        </is>
      </c>
      <c r="D8" s="5" t="inlineStr">
        <is>
          <t>block</t>
        </is>
      </c>
      <c r="E8" s="5" t="inlineStr">
        <is>
          <t>not_priced</t>
        </is>
      </c>
      <c r="F8" s="5" t="inlineStr">
        <is>
          <t>not_priced</t>
        </is>
      </c>
      <c r="G8" s="5" t="inlineStr">
        <is>
          <t>not_priced</t>
        </is>
      </c>
      <c r="H8" s="5" t="inlineStr">
        <is>
          <t>steel</t>
        </is>
      </c>
      <c r="I8" s="5" t="inlineStr">
        <is>
          <t>solid</t>
        </is>
      </c>
      <c r="J8" s="5" t="inlineStr">
        <is>
          <t>block</t>
        </is>
      </c>
      <c r="K8" s="5" t="inlineStr">
        <is>
          <t>overall_pair</t>
        </is>
      </c>
      <c r="L8" s="5" t="inlineStr">
        <is>
          <t>included</t>
        </is>
      </c>
      <c r="M8" s="5" t="inlineStr">
        <is>
          <t>Единица цены: дверной блок; основание размера: блок; двупольная, цена за общий габарит блока;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1600×2000.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ДПМ-2-Г-EI30; ДМП-02/30; ДПМ-02/30; металлическая глухая двупольная EI30; двустворчатая противопожарная EI30.
Характеристики: steel_sheet_mm = 1.5; leaf_split_confirmed = False; price_kind = starting_price.
Примечания в КП: Рыночная базовая цена для предварительного КП. Комплектация, применимость к проекту и итоговая цена исполнения подлежат уточнению.
Фурнитура/опции для модели: OPT-005 НОРА-М 3S мал., серый, арт. 4997 — 2631 ₽/шт.</t>
        </is>
      </c>
    </row>
    <row r="9">
      <c r="A9" s="5" t="n">
        <v>8</v>
      </c>
      <c r="B9" s="5" t="inlineStr">
        <is>
          <t>ДПМ-2-Г-EI60, глухой двупольный блок, порошок</t>
        </is>
      </c>
      <c r="C9" s="5" t="inlineStr">
        <is>
          <t>MET-008</t>
        </is>
      </c>
      <c r="D9" s="5" t="inlineStr">
        <is>
          <t>block</t>
        </is>
      </c>
      <c r="E9" s="5" t="inlineStr">
        <is>
          <t>not_priced</t>
        </is>
      </c>
      <c r="F9" s="5" t="inlineStr">
        <is>
          <t>not_priced</t>
        </is>
      </c>
      <c r="G9" s="5" t="inlineStr">
        <is>
          <t>not_priced</t>
        </is>
      </c>
      <c r="H9" s="5" t="inlineStr">
        <is>
          <t>steel</t>
        </is>
      </c>
      <c r="I9" s="5" t="inlineStr">
        <is>
          <t>solid</t>
        </is>
      </c>
      <c r="J9" s="5" t="inlineStr">
        <is>
          <t>block</t>
        </is>
      </c>
      <c r="K9" s="5" t="inlineStr">
        <is>
          <t>overall_pair</t>
        </is>
      </c>
      <c r="L9" s="5" t="inlineStr">
        <is>
          <t>included</t>
        </is>
      </c>
      <c r="M9" s="5" t="inlineStr">
        <is>
          <t>Единица цены: дверной блок; основание размера: блок; двупольная, цена за общий габарит блока;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1600×2000.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ДПМ-2-Г-EI60; ДМП-02/60; ДПМ-02/60; металлическая глухая двупольная EI60; двустворчатая противопожарная EI60.
Характеристики: steel_sheet_mm = 1.5; leaf_split_confirmed = False; price_kind = starting_price.
Примечания в КП: Рыночная базовая цена для предварительного КП. Комплектация, применимость к проекту и итоговая цена исполнения подлежат уточнению.
Фурнитура/опции для модели: OPT-005 НОРА-М 3S мал., серый, арт. 4997 — 2631 ₽/шт.</t>
        </is>
      </c>
    </row>
    <row r="10">
      <c r="A10" s="5" t="n">
        <v>9</v>
      </c>
      <c r="B10" s="5" t="inlineStr">
        <is>
          <t>ДПС-1-Г-СВ-EI60, блок с самозаплавляющейся вентиляцией pd195</t>
        </is>
      </c>
      <c r="C10" s="5" t="inlineStr">
        <is>
          <t>MET-012</t>
        </is>
      </c>
      <c r="D10" s="5" t="inlineStr">
        <is>
          <t>block</t>
        </is>
      </c>
      <c r="E10" s="5" t="inlineStr">
        <is>
          <t>not_priced</t>
        </is>
      </c>
      <c r="F10" s="5" t="inlineStr">
        <is>
          <t>not_priced</t>
        </is>
      </c>
      <c r="G10" s="5" t="inlineStr">
        <is>
          <t>not_priced</t>
        </is>
      </c>
      <c r="H10" s="5" t="inlineStr">
        <is>
          <t>steel</t>
        </is>
      </c>
      <c r="I10" s="5" t="inlineStr">
        <is>
          <t>solid</t>
        </is>
      </c>
      <c r="J10" s="5" t="inlineStr">
        <is>
          <t>block</t>
        </is>
      </c>
      <c r="K10" s="5" t="inlineStr">
        <is>
          <t>single</t>
        </is>
      </c>
      <c r="L10" s="5" t="inlineStr">
        <is>
          <t>included</t>
        </is>
      </c>
      <c r="M10" s="5" t="inlineStr">
        <is>
          <t>Единица цены: дверной блок; основание размера: блок; однопольная;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850×2050.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ДПС-1-Г-СВ-EI60-PD195.
Характеристики: fusible_vent = True; insulated = True; transom = False; lock_mode = не подтверждено; fire_documents_verified = False.
Примечания в КП: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Цена «от» за коробку 850×2050. Опубликованный диапазон изготовления не является набором стандартных цен. Самозаплавляющаяся решётка в базовой комплектации повторно не добавляется. Размер решётки, запирание ключ/ключ и документы на исполнение уточнить. Не подменяет EI30 автоматически.
Условия цены: status = preliminary_market; reference_date = 2026-10-17; price_scope = listed_configuration; tax = as_published; estimate_profiles: EI60-VENT.
Фурнитура/опции для модели: OPT-027 Цилиндр ключ/ключ, ценовой эталон Apecs SM-60-AB — 1210 ₽/шт.</t>
        </is>
      </c>
    </row>
    <row r="11">
      <c r="A11" s="5" t="n">
        <v>10</v>
      </c>
      <c r="B11" s="5" t="inlineStr">
        <is>
          <t>ДПС-2-Г-У-EI60, утеплённый двупольный блок Клин</t>
        </is>
      </c>
      <c r="C11" s="5" t="inlineStr">
        <is>
          <t>MET-013</t>
        </is>
      </c>
      <c r="D11" s="5" t="inlineStr">
        <is>
          <t>block</t>
        </is>
      </c>
      <c r="E11" s="5" t="inlineStr">
        <is>
          <t>not_priced</t>
        </is>
      </c>
      <c r="F11" s="5" t="inlineStr">
        <is>
          <t>not_priced</t>
        </is>
      </c>
      <c r="G11" s="5" t="inlineStr">
        <is>
          <t>not_priced</t>
        </is>
      </c>
      <c r="H11" s="5" t="inlineStr">
        <is>
          <t>steel</t>
        </is>
      </c>
      <c r="I11" s="5" t="inlineStr">
        <is>
          <t>solid</t>
        </is>
      </c>
      <c r="J11" s="5" t="inlineStr">
        <is>
          <t>opening</t>
        </is>
      </c>
      <c r="K11" s="5" t="inlineStr">
        <is>
          <t>overall_pair</t>
        </is>
      </c>
      <c r="L11" s="5" t="inlineStr">
        <is>
          <t>included</t>
        </is>
      </c>
      <c r="M11" s="5" t="inlineStr">
        <is>
          <t>Единица цены: дверной блок; основание размера: проём; двупольная, цена за общий габарит блока;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1200×2000.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ДПС-2-Г-У-EI60-КЛИН.
Характеристики: insulated = True; transom = False; lock_mode = не подтверждено; fire_documents_verified = False.
Примечания в КП: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На странице указана цена за проём 1200×2000 для двупольной модели; общие повторные блоки содержат другой размер. Используется только размер из характеристик конкретного двупольного изделия. Утепление базальтовой плитой включено. Тип цилиндра ключ/ключ и фактические габариты коробки уточнить. Доводчик отдельно.
Условия цены: status = preliminary_market; reference_date = 2026-10-17; price_scope = listed_configuration; tax = as_published; estimate_profiles: EI60-DOUBLE.
Фурнитура/опции для модели: OPT-027 Цилиндр ключ/ключ, ценовой эталон Apecs SM-60-AB — 1210 ₽/шт.</t>
        </is>
      </c>
    </row>
    <row r="12">
      <c r="A12" s="5" t="n">
        <v>11</v>
      </c>
      <c r="B12" s="5" t="inlineStr">
        <is>
          <t>ДПСО-1-EIW60, остеклённый стальной блок Н195</t>
        </is>
      </c>
      <c r="C12" s="5" t="inlineStr">
        <is>
          <t>MET-009</t>
        </is>
      </c>
      <c r="D12" s="5" t="inlineStr">
        <is>
          <t>block</t>
        </is>
      </c>
      <c r="E12" s="5" t="inlineStr">
        <is>
          <t>not_priced</t>
        </is>
      </c>
      <c r="F12" s="5" t="inlineStr">
        <is>
          <t>not_priced</t>
        </is>
      </c>
      <c r="G12" s="5" t="inlineStr">
        <is>
          <t>not_priced</t>
        </is>
      </c>
      <c r="H12" s="5" t="inlineStr">
        <is>
          <t>steel</t>
        </is>
      </c>
      <c r="I12" s="5" t="inlineStr">
        <is>
          <t>glazed</t>
        </is>
      </c>
      <c r="J12" s="5" t="inlineStr">
        <is>
          <t>block</t>
        </is>
      </c>
      <c r="K12" s="5" t="inlineStr">
        <is>
          <t>single</t>
        </is>
      </c>
      <c r="L12" s="5" t="inlineStr">
        <is>
          <t>included</t>
        </is>
      </c>
      <c r="M12" s="5" t="inlineStr">
        <is>
          <t>Единица цены: дверной блок; основание размера: блок; однопольная;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900×2100.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ДПСО-1-О-EIW60-Н195.
Характеристики: insulated = True; transom = False; glass_protection_class = не подтверждено; glazing_area_class = не подтверждено; lock_mode = не подтверждено; fire_documents_verified = False.
Примечания в КП: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Публичная цена «от» за базовый габарит 900×2100. Класс стекла СМ4 и точная площадь остекления не указаны. В карточке есть общие характеристики EI60; обозначение EIW60 сохранено как заявление каталога, документы на требуемый комплект необходимо подтвердить. Фрамуга не включена.
Условия цены: status = preliminary_market; reference_date = 2026-10-17; price_scope = listed_configuration; tax = as_published; estimate_profiles: EIW60-25.
Фурнитура/опции для модели: OPT-010 Стекло СМ4 в противопожарном блоке, подтверждение и изменение комплектации — цены нет ₽/шт; OPT-019 СМ4 EIW60, резерв на полную замену стекла — 9900 ₽/м²; OPT-027 Цилиндр ключ/ключ, ценовой эталон Apecs SM-60-AB — 1210 ₽/шт.</t>
        </is>
      </c>
    </row>
    <row r="13">
      <c r="A13" s="5" t="n">
        <v>12</v>
      </c>
      <c r="B13" s="5" t="inlineStr">
        <is>
          <t>ДПСО-1-Ф-EIW60, остеклённый стальной блок с фрамугой Н371</t>
        </is>
      </c>
      <c r="C13" s="5" t="inlineStr">
        <is>
          <t>MET-010</t>
        </is>
      </c>
      <c r="D13" s="5" t="inlineStr">
        <is>
          <t>block</t>
        </is>
      </c>
      <c r="E13" s="5" t="inlineStr">
        <is>
          <t>not_priced</t>
        </is>
      </c>
      <c r="F13" s="5" t="inlineStr">
        <is>
          <t>not_priced</t>
        </is>
      </c>
      <c r="G13" s="5" t="inlineStr">
        <is>
          <t>not_priced</t>
        </is>
      </c>
      <c r="H13" s="5" t="inlineStr">
        <is>
          <t>steel</t>
        </is>
      </c>
      <c r="I13" s="5" t="inlineStr">
        <is>
          <t>glazed</t>
        </is>
      </c>
      <c r="J13" s="5" t="inlineStr">
        <is>
          <t>block</t>
        </is>
      </c>
      <c r="K13" s="5" t="inlineStr">
        <is>
          <t>single</t>
        </is>
      </c>
      <c r="L13" s="5" t="inlineStr">
        <is>
          <t>included</t>
        </is>
      </c>
      <c r="M13" s="5" t="inlineStr">
        <is>
          <t>Единица цены: дверной блок; основание размера: блок; однопольная;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900×2100.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ДПСО-1-Ф-EIW60-Н371.
Характеристики: insulated = True; transom = True; glass_protection_class = не подтверждено; glazing_area_class = maximum; lock_mode = не подтверждено; fire_documents_verified = False.
Примечания в КП: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Цена «от» за опубликованный габарит 900×2100, не за дверь 1100×2400. Размер, заполнение и высота фрамуги, стекло СМ4 и остекление не более 25% требуют согласования. Каталог заявляет максимальное остекление; под требование ≤25% автоматически не подбирать.
Условия цены: status = preliminary_market; reference_date = 2026-10-17; price_scope = listed_configuration; tax = as_published; estimate_profiles: EIW60-25-F.
Фурнитура/опции для модели: OPT-010 Стекло СМ4 в противопожарном блоке, подтверждение и изменение комплектации — цены нет ₽/шт; OPT-019 СМ4 EIW60, резерв на полную замену стекла — 9900 ₽/м²; OPT-027 Цилиндр ключ/ключ, ценовой эталон Apecs SM-60-AB — 1210 ₽/шт.</t>
        </is>
      </c>
    </row>
    <row r="14">
      <c r="A14" s="5" t="n">
        <v>13</v>
      </c>
      <c r="B14" s="5" t="inlineStr">
        <is>
          <t>ДПСО-2-001C, стальной остеклённый двупольный EIW30</t>
        </is>
      </c>
      <c r="C14" s="5" t="inlineStr">
        <is>
          <t>MET-011</t>
        </is>
      </c>
      <c r="D14" s="5" t="inlineStr">
        <is>
          <t>block</t>
        </is>
      </c>
      <c r="E14" s="5" t="inlineStr">
        <is>
          <t>not_priced</t>
        </is>
      </c>
      <c r="F14" s="5" t="inlineStr">
        <is>
          <t>not_priced</t>
        </is>
      </c>
      <c r="G14" s="5" t="inlineStr">
        <is>
          <t>not_priced</t>
        </is>
      </c>
      <c r="H14" s="5" t="inlineStr">
        <is>
          <t>steel</t>
        </is>
      </c>
      <c r="I14" s="5" t="inlineStr">
        <is>
          <t>glazed</t>
        </is>
      </c>
      <c r="J14" s="5" t="inlineStr">
        <is>
          <t>block</t>
        </is>
      </c>
      <c r="K14" s="5" t="inlineStr">
        <is>
          <t>overall_pair</t>
        </is>
      </c>
      <c r="L14" s="5" t="inlineStr">
        <is>
          <t>included</t>
        </is>
      </c>
      <c r="M14" s="5" t="inlineStr">
        <is>
          <t>Единица цены: дверной блок; основание размера: блок; двупольная, цена за общий габарит блока;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1600×2050.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ДПСО-2-О-EIW30-001C.
Характеристики: transom = False; insulated = не подтверждено; glass_protection_class = не подтверждено; glazing_area_class = up_to_25; glass_unit_thickness_mm = 28; closer_included = не подтверждено; fire_documents_verified = False.
Примечания в КП: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Опубликована комплектация с остеклением до 25%, стеклопакет 28 мм. Это не цена исполнения с остеклением до 50%, СМ4 и фрамугой. Нельзя переносить эту цену на требуемое исполнение без отдельных тарифов. Доводчик указан в названии, количество и состав поставки не уточнены.
Условия цены: status = preliminary_market; reference_date = 2026-10-17; price_scope = listed_configuration; tax = as_published; estimate_profiles: EIW30-50-F.
Фурнитура/опции для модели: OPT-010 Стекло СМ4 в противопожарном блоке, подтверждение и изменение комплектации — цены нет ₽/шт; OPT-011 EIW30: остекление до 50% и фрамуга вместо базового исполнения до 25% — цены нет ₽/шт; OPT-020 СМ4 EIW30, резерв на полную замену стекла — 8700 ₽/м²; OPT-021 Верхняя глухая стальная фрамуга, сметный ориентир — 3000 ₽/шт; OPT-027 Цилиндр ключ/ключ, ценовой эталон Apecs SM-60-AB — 1210 ₽/шт.</t>
        </is>
      </c>
    </row>
    <row r="15">
      <c r="A15" s="5" t="n">
        <v>14</v>
      </c>
      <c r="B15" s="5" t="inlineStr">
        <is>
          <t>ДА-1-СП-V60, алюминиевый блок Vidnal V60</t>
        </is>
      </c>
      <c r="C15" s="5" t="inlineStr">
        <is>
          <t>ALU-001</t>
        </is>
      </c>
      <c r="D15" s="5" t="inlineStr">
        <is>
          <t>block</t>
        </is>
      </c>
      <c r="E15" s="5" t="inlineStr">
        <is>
          <t>not_priced</t>
        </is>
      </c>
      <c r="F15" s="5" t="inlineStr">
        <is>
          <t>not_priced</t>
        </is>
      </c>
      <c r="G15" s="5" t="inlineStr">
        <is>
          <t>not_priced</t>
        </is>
      </c>
      <c r="H15" s="5" t="inlineStr">
        <is>
          <t>aluminium</t>
        </is>
      </c>
      <c r="I15" s="5" t="inlineStr">
        <is>
          <t>glazed</t>
        </is>
      </c>
      <c r="J15" s="5" t="inlineStr">
        <is>
          <t>block</t>
        </is>
      </c>
      <c r="K15" s="5" t="inlineStr">
        <is>
          <t>single</t>
        </is>
      </c>
      <c r="L15" s="5" t="inlineStr">
        <is>
          <t>included</t>
        </is>
      </c>
      <c r="M15" s="5" t="inlineStr">
        <is>
          <t>Единица цены: дверной блок; основание размера: блок; однопольная;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900×2100.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ДА-1-СП-V60; алюминиевая; алюминиевая дверь 1 створки; ДА-1; дверь из алюминиевого профиля 1 створки.
Характеристики: profile = Vidnal V60; glass_unit = однокамерный; hardware = Roto NT; thermal_class = не подтверждено.
Примечания в КП: Рыночная базовая цена для предварительного КП. Комплектация, применимость к проекту и итоговая цена исполнения подлежат уточнению.
Условия цены: ; estimate_profiles: ALU-1-F-40.
Фурнитура/опции для модели: OPT-022 СПД40 6М1зак-12-4М1-12-6Изак, изготовление — 6430 ₽/м²; OPT-023 Порошковая окраска нового алюминиевого профиля RAL 7024 — 130 ₽/м; OPT-024 Тёплая алюминиевая фрамуга, расчётный тариф по ширине — 19300 ₽/м; OPT-029 Доводчик алюминиевой двери, сметный ценовой ориентир — 4000 ₽/шт; OPT-030 ELEMENTIS ELM0451, врезной шпингалет чёрный — 439.64 ₽/шт; OPT-031 Координатор Синхрон KCK0001.06, чёрный — 3550 ₽/шт.</t>
        </is>
      </c>
    </row>
    <row r="16">
      <c r="A16" s="5" t="n">
        <v>15</v>
      </c>
      <c r="B16" s="5" t="inlineStr">
        <is>
          <t>ДА-2-СП-V60, алюминиевый блок Vidnal V60</t>
        </is>
      </c>
      <c r="C16" s="5" t="inlineStr">
        <is>
          <t>ALU-002</t>
        </is>
      </c>
      <c r="D16" s="5" t="inlineStr">
        <is>
          <t>block</t>
        </is>
      </c>
      <c r="E16" s="5" t="inlineStr">
        <is>
          <t>not_priced</t>
        </is>
      </c>
      <c r="F16" s="5" t="inlineStr">
        <is>
          <t>not_priced</t>
        </is>
      </c>
      <c r="G16" s="5" t="inlineStr">
        <is>
          <t>not_priced</t>
        </is>
      </c>
      <c r="H16" s="5" t="inlineStr">
        <is>
          <t>aluminium</t>
        </is>
      </c>
      <c r="I16" s="5" t="inlineStr">
        <is>
          <t>glazed</t>
        </is>
      </c>
      <c r="J16" s="5" t="inlineStr">
        <is>
          <t>block</t>
        </is>
      </c>
      <c r="K16" s="5" t="inlineStr">
        <is>
          <t>overall_pair</t>
        </is>
      </c>
      <c r="L16" s="5" t="inlineStr">
        <is>
          <t>included</t>
        </is>
      </c>
      <c r="M16" s="5" t="inlineStr">
        <is>
          <t>Единица цены: дверной блок; основание размера: блок; двупольная, цена за общий габарит блока;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1400×2100.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ДА-2-СП-V60; алюминиевая; алюминиевая дверь 2 створки; ДА-2; дверь из алюминиевого профиля 2 створки.
Характеристики: profile = Vidnal V60; glass_unit = однокамерный; hardware = Roto NT; thermal_class = не подтверждено.
Примечания в КП: Рыночная базовая цена для предварительного КП. Комплектация, применимость к проекту и итоговая цена исполнения подлежат уточнению.
Фурнитура/опции для модели: OPT-022 СПД40 6М1зак-12-4М1-12-6Изак, изготовление — 6430 ₽/м²; OPT-023 Порошковая окраска нового алюминиевого профиля RAL 7024 — 130 ₽/м; OPT-024 Тёплая алюминиевая фрамуга, расчётный тариф по ширине — 19300 ₽/м; OPT-029 Доводчик алюминиевой двери, сметный ценовой ориентир — 4000 ₽/шт; OPT-030 ELEMENTIS ELM0451, врезной шпингалет чёрный — 439.64 ₽/шт; OPT-031 Координатор Синхрон KCK0001.06, чёрный — 3550 ₽/шт.</t>
        </is>
      </c>
    </row>
    <row r="17">
      <c r="A17" s="5" t="n">
        <v>16</v>
      </c>
      <c r="B17" s="5" t="inlineStr">
        <is>
          <t>ДА-1-СПД32-КПТ74, тёплый блок СИАЛ</t>
        </is>
      </c>
      <c r="C17" s="5" t="inlineStr">
        <is>
          <t>ALU-003</t>
        </is>
      </c>
      <c r="D17" s="5" t="inlineStr">
        <is>
          <t>block</t>
        </is>
      </c>
      <c r="E17" s="5" t="inlineStr">
        <is>
          <t>not_priced</t>
        </is>
      </c>
      <c r="F17" s="5" t="inlineStr">
        <is>
          <t>not_priced</t>
        </is>
      </c>
      <c r="G17" s="5" t="inlineStr">
        <is>
          <t>not_priced</t>
        </is>
      </c>
      <c r="H17" s="5" t="inlineStr">
        <is>
          <t>aluminium</t>
        </is>
      </c>
      <c r="I17" s="5" t="inlineStr">
        <is>
          <t>glazed</t>
        </is>
      </c>
      <c r="J17" s="5" t="inlineStr">
        <is>
          <t>block</t>
        </is>
      </c>
      <c r="K17" s="5" t="inlineStr">
        <is>
          <t>single</t>
        </is>
      </c>
      <c r="L17" s="5" t="inlineStr">
        <is>
          <t>included</t>
        </is>
      </c>
      <c r="M17" s="5" t="inlineStr">
        <is>
          <t>Единица цены: дверной блок; основание размера: блок; однопольная;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ДА-1-О-Т-СИАЛ-СПД32.
Характеристики: profile = СИАЛ КПТ74; thermal_break = True; glass_unit_thickness_mm = 32; glass_formula = 4-10-4-10-4; transom = False; color = RAL 9016; lock_mode = key_key; closer_included = False.
Примечания в КП: Региональный ориентир вне Москвы и Московской области. Не применять для расчёта. |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Белый RAL 9016; стеклопакет 32 мм, не требуемые 40 мм с закалёнными стёклами. Фрамуга, точный RAL 7024, доводчик, порог и изменение стеклопакета не оценены. Не назначать цену этих опций равной нулю.
Условия цены: status = preliminary_market; reference_date = 2026-10-17; price_scope = listed_configuration; tax = as_published; disabled = True; disabled_reason = Региональный ориентир вне Москвы и Московской области. Не применять для расчёта..
Фурнитура/опции для модели: OPT-012 СПД40 6М1зак-12-4М1-12-6Изак для алюминиевой двери — цены нет ₽/шт; OPT-013 RAL 7024 для алюминиевого блока вместо базового белого — цены нет ₽/шт; OPT-014 Фрамуга алюминиевого блока СИАЛ: изготовление и заполнение — цены нет ₽/шт; OPT-015 Алюминиевый блок: порог, шпингалеты, координатор и доводчики по проекту — цены нет ₽/шт.</t>
        </is>
      </c>
    </row>
    <row r="18">
      <c r="A18" s="5" t="n">
        <v>17</v>
      </c>
      <c r="B18" s="5" t="inlineStr">
        <is>
          <t>ДА-2-СПД32-КПТ74, тёплый двупольный блок СИАЛ</t>
        </is>
      </c>
      <c r="C18" s="5" t="inlineStr">
        <is>
          <t>ALU-004</t>
        </is>
      </c>
      <c r="D18" s="5" t="inlineStr">
        <is>
          <t>block</t>
        </is>
      </c>
      <c r="E18" s="5" t="inlineStr">
        <is>
          <t>not_priced</t>
        </is>
      </c>
      <c r="F18" s="5" t="inlineStr">
        <is>
          <t>not_priced</t>
        </is>
      </c>
      <c r="G18" s="5" t="inlineStr">
        <is>
          <t>not_priced</t>
        </is>
      </c>
      <c r="H18" s="5" t="inlineStr">
        <is>
          <t>aluminium</t>
        </is>
      </c>
      <c r="I18" s="5" t="inlineStr">
        <is>
          <t>glazed</t>
        </is>
      </c>
      <c r="J18" s="5" t="inlineStr">
        <is>
          <t>block</t>
        </is>
      </c>
      <c r="K18" s="5" t="inlineStr">
        <is>
          <t>overall_pair</t>
        </is>
      </c>
      <c r="L18" s="5" t="inlineStr">
        <is>
          <t>included</t>
        </is>
      </c>
      <c r="M18" s="5" t="inlineStr">
        <is>
          <t>Единица цены: дверной блок; основание размера: блок; двупольная, цена за общий габарит блока;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1300×2000.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ДА-2-О-Т-СИАЛ-СПД32.
Характеристики: profile = СИАЛ КПТ74; thermal_break = True; glass_unit_thickness_mm = 32; glass_formula = 4-10-4-10-4; transom = False; color = RAL 9016; equal_leaves = не подтверждено; lock_mode = key_key; closer_included = False.
Примечания в КП: Региональный ориентир вне Москвы и Московской области. Не применять для расчёта. |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Точная разбивка створок, равнопольное исполнение, фрамуга, СПД40 с заданной формулой, RAL 7024, шпингалеты, порог, координатор и доводчики требуют отдельных подтверждённых тарифов. Базовая цена не покрывает эти опции.
Условия цены: status = preliminary_market; reference_date = 2026-10-17; price_scope = listed_configuration; tax = as_published; disabled = True; disabled_reason = Региональный ориентир вне Москвы и Московской области. Не применять для расчёта..
Фурнитура/опции для модели: OPT-012 СПД40 6М1зак-12-4М1-12-6Изак для алюминиевой двери — цены нет ₽/шт; OPT-013 RAL 7024 для алюминиевого блока вместо базового белого — цены нет ₽/шт; OPT-014 Фрамуга алюминиевого блока СИАЛ: изготовление и заполнение — цены нет ₽/шт; OPT-015 Алюминиевый блок: порог, шпингалеты, координатор и доводчики по проекту — цены нет ₽/шт.</t>
        </is>
      </c>
    </row>
    <row r="19">
      <c r="A19" s="5" t="n">
        <v>18</v>
      </c>
      <c r="B19" s="5" t="inlineStr">
        <is>
          <t>ДА-2-Ф-W62, алюминиевый блок Alutech с фрамугой</t>
        </is>
      </c>
      <c r="C19" s="5" t="inlineStr">
        <is>
          <t>ALU-005</t>
        </is>
      </c>
      <c r="D19" s="5" t="inlineStr">
        <is>
          <t>block</t>
        </is>
      </c>
      <c r="E19" s="5" t="inlineStr">
        <is>
          <t>not_priced</t>
        </is>
      </c>
      <c r="F19" s="5" t="inlineStr">
        <is>
          <t>not_priced</t>
        </is>
      </c>
      <c r="G19" s="5" t="inlineStr">
        <is>
          <t>not_priced</t>
        </is>
      </c>
      <c r="H19" s="5" t="inlineStr">
        <is>
          <t>aluminium</t>
        </is>
      </c>
      <c r="I19" s="5" t="inlineStr">
        <is>
          <t>glazed</t>
        </is>
      </c>
      <c r="J19" s="5" t="inlineStr">
        <is>
          <t>block</t>
        </is>
      </c>
      <c r="K19" s="5" t="inlineStr">
        <is>
          <t>overall_pair</t>
        </is>
      </c>
      <c r="L19" s="5" t="inlineStr">
        <is>
          <t>included</t>
        </is>
      </c>
      <c r="M19" s="5" t="inlineStr">
        <is>
          <t>Единица цены: дверной блок; основание размера: блок; двупольная, цена за общий габарит блока; остеклённая.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1500×2700.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ДА-2-О-Ф-ALUTECH-W62.
Характеристики: profile = Alutech W62; transom = True; glass_unit_thickness_mm = не подтверждено; glass_formula = не подтверждено; color = Белый; equal_leaves = не подтверждено; closer_included = не подтверждено.
Примечания в КП: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Цена опубликованного белого блока 1500×2700 с фрамугой. Формула стеклопакета, равные створки, RAL 7024, замок, порог, шпингалеты, координатор закрывания и доводчики в цену документально не раскрыты. Это ценовой вариант другого профиля, применение как аналога СИАЛ требует согласования.
Условия цены: status = preliminary_market; reference_date = 2026-10-17; price_scope = listed_configuration; tax = as_published; estimate_profiles: ALU-2-F-40.
Фурнитура/опции для модели: OPT-012 СПД40 6М1зак-12-4М1-12-6Изак для алюминиевой двери — цены нет ₽/шт; OPT-013 RAL 7024 для алюминиевого блока вместо базового белого — цены нет ₽/шт; OPT-015 Алюминиевый блок: порог, шпингалеты, координатор и доводчики по проекту — цены нет ₽/шт; OPT-022 СПД40 6М1зак-12-4М1-12-6Изак, изготовление — 6430 ₽/м²; OPT-023 Порошковая окраска нового алюминиевого профиля RAL 7024 — 130 ₽/м; OPT-025 Дополнительная фурнитура двупольного алюминиевого блока — 12429.28 ₽/шт; OPT-029 Доводчик алюминиевой двери, сметный ценовой ориентир — 4000 ₽/шт; OPT-030 ELEMENTIS ELM0451, врезной шпингалет чёрный — 439.64 ₽/шт; OPT-031 Координатор Синхрон KCK0001.06, чёрный — 3550 ₽/шт.</t>
        </is>
      </c>
    </row>
    <row r="20">
      <c r="A20" s="5" t="n">
        <v>19</v>
      </c>
      <c r="B20" s="5" t="inlineStr">
        <is>
          <t>ДА-1-Г-Т-V60, тёплый глухой блок Vidnal</t>
        </is>
      </c>
      <c r="C20" s="5" t="inlineStr">
        <is>
          <t>ALU-006</t>
        </is>
      </c>
      <c r="D20" s="5" t="inlineStr">
        <is>
          <t>block</t>
        </is>
      </c>
      <c r="E20" s="5" t="inlineStr">
        <is>
          <t>not_priced</t>
        </is>
      </c>
      <c r="F20" s="5" t="inlineStr">
        <is>
          <t>not_priced</t>
        </is>
      </c>
      <c r="G20" s="5" t="inlineStr">
        <is>
          <t>not_priced</t>
        </is>
      </c>
      <c r="H20" s="5" t="inlineStr">
        <is>
          <t>aluminium</t>
        </is>
      </c>
      <c r="I20" s="5" t="inlineStr">
        <is>
          <t>solid</t>
        </is>
      </c>
      <c r="J20" s="5" t="inlineStr">
        <is>
          <t>block</t>
        </is>
      </c>
      <c r="K20" s="5" t="inlineStr">
        <is>
          <t>single</t>
        </is>
      </c>
      <c r="L20" s="5" t="inlineStr">
        <is>
          <t>included</t>
        </is>
      </c>
      <c r="M20" s="5" t="inlineStr">
        <is>
          <t>Единица цены: дверной блок; основание размера: блок; однопольная;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900×2100.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ДА-1-Г-Т-VIDNAL-V60.
Характеристики: profile = Vidnal V60; thermal_break = True; transom = False; impost = не подтверждено; lock_mode = не подтверждено; closer_included = False.
Примечания в КП: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Цена без монтажа. Импост, требуемый СИАЛ или согласованный аналог, RAL 7024, доводчик, порог и замок ключ/завёртка не подтверждены в составе. Не использовать как полное соответствие этим требованиям.
Условия цены: status = preliminary_market; reference_date = 2026-10-17; price_scope = listed_configuration; tax = as_published.
Фурнитура/опции для модели: OPT-013 RAL 7024 для алюминиевого блока вместо базового белого — цены нет ₽/шт; OPT-016 Алюминиевый блок: импост и замок ключ/завёртка — цены нет ₽/шт; OPT-022 СПД40 6М1зак-12-4М1-12-6Изак, изготовление — 6430 ₽/м²; OPT-023 Порошковая окраска нового алюминиевого профиля RAL 7024 — 130 ₽/м; OPT-029 Доводчик алюминиевой двери, сметный ценовой ориентир — 4000 ₽/шт; OPT-030 ELEMENTIS ELM0451, врезной шпингалет чёрный — 439.64 ₽/шт; OPT-031 Координатор Синхрон KCK0001.06, чёрный — 3550 ₽/шт.</t>
        </is>
      </c>
    </row>
    <row r="21">
      <c r="A21" s="5" t="n">
        <v>20</v>
      </c>
      <c r="B21" s="5" t="inlineStr">
        <is>
          <t>ДА-1-Г-И-Т, сметный тёплый блок с импостом</t>
        </is>
      </c>
      <c r="C21" s="5" t="inlineStr">
        <is>
          <t>ALU-007</t>
        </is>
      </c>
      <c r="D21" s="5" t="inlineStr">
        <is>
          <t>block</t>
        </is>
      </c>
      <c r="E21" s="5" t="inlineStr">
        <is>
          <t>not_priced</t>
        </is>
      </c>
      <c r="F21" s="5" t="inlineStr">
        <is>
          <t>not_priced</t>
        </is>
      </c>
      <c r="G21" s="5" t="inlineStr">
        <is>
          <t>not_priced</t>
        </is>
      </c>
      <c r="H21" s="5" t="inlineStr">
        <is>
          <t>aluminium</t>
        </is>
      </c>
      <c r="I21" s="5" t="inlineStr">
        <is>
          <t>solid</t>
        </is>
      </c>
      <c r="J21" s="5" t="inlineStr">
        <is>
          <t>block</t>
        </is>
      </c>
      <c r="K21" s="5" t="inlineStr">
        <is>
          <t>single</t>
        </is>
      </c>
      <c r="L21" s="5" t="inlineStr">
        <is>
          <t>included</t>
        </is>
      </c>
      <c r="M21" s="5" t="inlineStr">
        <is>
          <t>Единица цены: дверной блок; основание размера: блок; однопольная; глухая.
Компоненты: коробка — включена в цену;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(1): 900×2100.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ДА-1-Г-И-Т-СМЕТА.
Характеристики: thermal_break = True; transom = False; impost = не подтверждено; profile = не подтверждено; color = не подтверждено; lock_mode = не подтверждено; closer_included = False.
Примечания в КП: База 37800 руб. — расчётная оценка тёплого глухого блока с импостом. Соответствие проекту и окончательная цена требуют подтверждения.
Условия цены: status = calculated_market_estimate; estimate_only = True; price_scope = proposed_frame_assembly; reference_date = 2026-10-17; tax = as_listed; estimate_profiles: ALU-1-SOLID-IMPOST.
Фурнитура/опции для модели: OPT-022 СПД40 6М1зак-12-4М1-12-6Изак, изготовление — 6430 ₽/м²; OPT-023 Порошковая окраска нового алюминиевого профиля RAL 7024 — 130 ₽/м; OPT-026 Цилиндр Apecs SC-70-C-NI, ключ/завёртка — 1070 ₽/шт; OPT-029 Доводчик алюминиевой двери, сметный ценовой ориентир — 4000 ₽/шт; OPT-030 ELEMENTIS ELM0451, врезной шпингалет чёрный — 439.64 ₽/шт; OPT-031 Координатор Синхрон KCK0001.06, чёрный — 3550 ₽/шт.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6" customWidth="1" min="3" max="3"/>
  </cols>
  <sheetData>
    <row r="1">
      <c r="A1" s="10" t="inlineStr">
        <is>
          <t>Сокращение</t>
        </is>
      </c>
      <c r="B1" s="10" t="inlineStr">
        <is>
          <t>Расшифровка</t>
        </is>
      </c>
      <c r="C1" s="10" t="inlineStr">
        <is>
          <t>Где на сайте</t>
        </is>
      </c>
    </row>
    <row r="2">
      <c r="A2" s="11" t="inlineStr">
        <is>
          <t>Тип полотна в названиях сайта</t>
        </is>
      </c>
      <c r="B2" s="11" t="n"/>
      <c r="C2" s="11" t="n"/>
    </row>
    <row r="3">
      <c r="A3" s="12" t="inlineStr">
        <is>
          <t>ПГ</t>
        </is>
      </c>
      <c r="B3" s="12" t="inlineStr">
        <is>
          <t>полотно глухое</t>
        </is>
      </c>
      <c r="C3" s="12" t="inlineStr">
        <is>
          <t>названия моделей</t>
        </is>
      </c>
    </row>
    <row r="4">
      <c r="A4" s="12" t="inlineStr">
        <is>
          <t>ПО</t>
        </is>
      </c>
      <c r="B4" s="12" t="inlineStr">
        <is>
          <t>полотно остеклённое</t>
        </is>
      </c>
      <c r="C4" s="12" t="inlineStr">
        <is>
          <t>названия моделей</t>
        </is>
      </c>
    </row>
    <row r="5">
      <c r="A5" s="12" t="inlineStr">
        <is>
          <t>ДГ</t>
        </is>
      </c>
      <c r="B5" s="12" t="inlineStr">
        <is>
          <t>дверь глухая</t>
        </is>
      </c>
      <c r="C5" s="12" t="inlineStr">
        <is>
          <t>названия моделей</t>
        </is>
      </c>
    </row>
    <row r="6">
      <c r="A6" s="12" t="inlineStr">
        <is>
          <t>ДПГ</t>
        </is>
      </c>
      <c r="B6" s="12" t="inlineStr">
        <is>
          <t>дверное полотно глухое</t>
        </is>
      </c>
      <c r="C6" s="12" t="inlineStr">
        <is>
          <t>названия моделей</t>
        </is>
      </c>
    </row>
    <row r="7">
      <c r="A7" s="12" t="inlineStr">
        <is>
          <t>ДПО</t>
        </is>
      </c>
      <c r="B7" s="12" t="inlineStr">
        <is>
          <t>дверное полотно остеклённое</t>
        </is>
      </c>
      <c r="C7" s="12" t="inlineStr">
        <is>
          <t>названия моделей</t>
        </is>
      </c>
    </row>
    <row r="8">
      <c r="A8" s="12" t="inlineStr">
        <is>
          <t>ДДП / ДДПО</t>
        </is>
      </c>
      <c r="B8" s="12" t="inlineStr">
        <is>
          <t>противопожарная дверь глухая / остеклённая (на сайте буквы не расшифрованы)</t>
        </is>
      </c>
      <c r="C8" s="12" t="inlineStr">
        <is>
          <t>ДДП Е-30, ДДПО Е-30</t>
        </is>
      </c>
    </row>
    <row r="9">
      <c r="A9" s="12" t="inlineStr">
        <is>
          <t>Е-30, EI30</t>
        </is>
      </c>
      <c r="B9" s="12" t="inlineStr">
        <is>
          <t>огнестойкость 30 мин: E — целостность, I — теплоизоляция</t>
        </is>
      </c>
      <c r="C9" s="12" t="inlineStr">
        <is>
          <t>противопожарные</t>
        </is>
      </c>
    </row>
    <row r="10">
      <c r="A10" s="12" t="inlineStr">
        <is>
          <t>EI60</t>
        </is>
      </c>
      <c r="B10" s="12" t="inlineStr">
        <is>
          <t>огнестойкость 60 мин</t>
        </is>
      </c>
      <c r="C10" s="12" t="inlineStr">
        <is>
          <t>противопожарные</t>
        </is>
      </c>
    </row>
    <row r="11">
      <c r="A11" s="12" t="inlineStr">
        <is>
          <t>ПШГ</t>
        </is>
      </c>
      <c r="B11" s="12" t="inlineStr">
        <is>
          <t>глухая шумоизоляционная дверь (на сайте буквы не расшифрованы)</t>
        </is>
      </c>
      <c r="C11" s="12" t="inlineStr">
        <is>
          <t>ПШГ 1, ПШГ 2</t>
        </is>
      </c>
    </row>
    <row r="12">
      <c r="A12" s="12" t="inlineStr">
        <is>
          <t>NK, SMK</t>
        </is>
      </c>
      <c r="B12" s="12" t="inlineStr">
        <is>
          <t>индексы серий в названиях моделей, не технические сокращения</t>
        </is>
      </c>
      <c r="C12" s="12" t="inlineStr">
        <is>
          <t>1NK, 42NK, 1SMK</t>
        </is>
      </c>
    </row>
    <row r="13">
      <c r="A13" s="12" t="inlineStr">
        <is>
          <t>AL</t>
        </is>
      </c>
      <c r="B13" s="12" t="inlineStr">
        <is>
          <t>алюминиевая кромка</t>
        </is>
      </c>
      <c r="C13" s="12" t="inlineStr">
        <is>
          <t>Турин 13 AL ПО</t>
        </is>
      </c>
    </row>
    <row r="14">
      <c r="A14" s="12" t="inlineStr">
        <is>
          <t>ABS</t>
        </is>
      </c>
      <c r="B14" s="12" t="inlineStr">
        <is>
          <t>пластиковая кромка ABS</t>
        </is>
      </c>
      <c r="C14" s="12" t="inlineStr">
        <is>
          <t>1SMK</t>
        </is>
      </c>
    </row>
    <row r="15">
      <c r="A15" s="11" t="inlineStr">
        <is>
          <t>ГОСТ 6629-88: марка двери</t>
        </is>
      </c>
      <c r="B15" s="11" t="n"/>
      <c r="C15" s="11" t="n"/>
    </row>
    <row r="16">
      <c r="A16" s="12" t="inlineStr">
        <is>
          <t>Д</t>
        </is>
      </c>
      <c r="B16" s="12" t="inlineStr">
        <is>
          <t>дверь (первая буква марки)</t>
        </is>
      </c>
      <c r="C16" s="12" t="n"/>
    </row>
    <row r="17">
      <c r="A17" s="12" t="inlineStr">
        <is>
          <t>Г / О</t>
        </is>
      </c>
      <c r="B17" s="12" t="inlineStr">
        <is>
          <t>с глухими / остеклёнными полотнами</t>
        </is>
      </c>
      <c r="C17" s="12" t="n"/>
    </row>
    <row r="18">
      <c r="A18" s="12" t="inlineStr">
        <is>
          <t>К</t>
        </is>
      </c>
      <c r="B18" s="12" t="inlineStr">
        <is>
          <t>с остеклёнными качающимися полотнами</t>
        </is>
      </c>
      <c r="C18" s="12" t="n"/>
    </row>
    <row r="19">
      <c r="A19" s="12" t="inlineStr">
        <is>
          <t>У</t>
        </is>
      </c>
      <c r="B19" s="12" t="inlineStr">
        <is>
          <t>со сплошным заполнителем, усиленные, для входа в квартиру</t>
        </is>
      </c>
      <c r="C19" s="12" t="n"/>
    </row>
    <row r="20">
      <c r="A20" s="12" t="inlineStr">
        <is>
          <t>П (перед типом)</t>
        </is>
      </c>
      <c r="B20" s="12" t="inlineStr">
        <is>
          <t>полотно бескоробочной двери</t>
        </is>
      </c>
      <c r="C20" s="12" t="n"/>
    </row>
    <row r="21">
      <c r="A21" s="12" t="inlineStr">
        <is>
          <t>21-9</t>
        </is>
      </c>
      <c r="B21" s="12" t="inlineStr">
        <is>
          <t>проём: высота 21 дм, ширина 9 дм</t>
        </is>
      </c>
      <c r="C21" s="12" t="n"/>
    </row>
    <row r="22">
      <c r="A22" s="12" t="inlineStr">
        <is>
          <t>Л</t>
        </is>
      </c>
      <c r="B22" s="12" t="inlineStr">
        <is>
          <t>левая; правая не обозначается</t>
        </is>
      </c>
      <c r="C22" s="12" t="n"/>
    </row>
    <row r="23">
      <c r="A23" s="12" t="inlineStr">
        <is>
          <t>П (после размера)</t>
        </is>
      </c>
      <c r="B23" s="12" t="inlineStr">
        <is>
          <t>с порогом</t>
        </is>
      </c>
      <c r="C23" s="12" t="n"/>
    </row>
    <row r="24">
      <c r="A24" s="12" t="inlineStr">
        <is>
          <t>Н</t>
        </is>
      </c>
      <c r="B24" s="12" t="inlineStr">
        <is>
          <t>с наплавом</t>
        </is>
      </c>
      <c r="C24" s="12" t="n"/>
    </row>
    <row r="25">
      <c r="A25" s="11" t="inlineStr">
        <is>
          <t>ГОСТ 475-2016: условное обозначение блока</t>
        </is>
      </c>
      <c r="B25" s="11" t="n"/>
      <c r="C25" s="11" t="n"/>
    </row>
    <row r="26">
      <c r="A26" s="12" t="inlineStr">
        <is>
          <t>ДН / ДВ / ДМ / ДС</t>
        </is>
      </c>
      <c r="B26" s="12" t="inlineStr">
        <is>
          <t>наружный входной / внутренний входной в квартиру или помещение / межкомнатный / санузла</t>
        </is>
      </c>
      <c r="C26" s="12" t="n"/>
    </row>
    <row r="27">
      <c r="A27" s="12" t="inlineStr">
        <is>
          <t>1 / 2</t>
        </is>
      </c>
      <c r="B27" s="12" t="inlineStr">
        <is>
          <t>однопольный / двупольный</t>
        </is>
      </c>
      <c r="C27" s="12" t="n"/>
    </row>
    <row r="28">
      <c r="A28" s="12" t="inlineStr">
        <is>
          <t>Рп / Рл</t>
        </is>
      </c>
      <c r="B28" s="12" t="inlineStr">
        <is>
          <t>распашной правый / левый</t>
        </is>
      </c>
      <c r="C28" s="12" t="n"/>
    </row>
    <row r="29">
      <c r="A29" s="12" t="inlineStr">
        <is>
          <t>К</t>
        </is>
      </c>
      <c r="B29" s="12" t="inlineStr">
        <is>
          <t>качающийся</t>
        </is>
      </c>
      <c r="C29" s="12" t="n"/>
    </row>
    <row r="30">
      <c r="A30" s="12" t="inlineStr">
        <is>
          <t>Р / Р2</t>
        </is>
      </c>
      <c r="B30" s="12" t="inlineStr">
        <is>
          <t>раздвижной / раздвижной двупольный</t>
        </is>
      </c>
      <c r="C30" s="12" t="n"/>
    </row>
    <row r="31">
      <c r="A31" s="12" t="inlineStr">
        <is>
          <t>С</t>
        </is>
      </c>
      <c r="B31" s="12" t="inlineStr">
        <is>
          <t>складной</t>
        </is>
      </c>
      <c r="C31" s="12" t="n"/>
    </row>
    <row r="32">
      <c r="A32" s="12" t="inlineStr">
        <is>
          <t>Г / О</t>
        </is>
      </c>
      <c r="B32" s="12" t="inlineStr">
        <is>
          <t>глухой / остеклённый</t>
        </is>
      </c>
      <c r="C32" s="12" t="n"/>
    </row>
    <row r="33">
      <c r="A33" s="12" t="inlineStr">
        <is>
          <t>ПрБ / Пр / По</t>
        </is>
      </c>
      <c r="B33" s="12" t="inlineStr">
        <is>
          <t>без порога / с порогом / с опускающимся порогом</t>
        </is>
      </c>
      <c r="C33" s="12" t="n"/>
    </row>
    <row r="34">
      <c r="A34" s="12" t="inlineStr">
        <is>
          <t>Мд1–Мд4</t>
        </is>
      </c>
      <c r="B34" s="12" t="inlineStr">
        <is>
          <t>класс механической прочности</t>
        </is>
      </c>
      <c r="C34" s="12" t="n"/>
    </row>
    <row r="35">
      <c r="A35" s="12" t="inlineStr">
        <is>
          <t>З1–З3</t>
        </is>
      </c>
      <c r="B35" s="12" t="inlineStr">
        <is>
          <t>класс звукоизоляции (в найденной копии текста читается как «31–33»)</t>
        </is>
      </c>
      <c r="C35" s="12" t="n"/>
    </row>
    <row r="36">
      <c r="A36" s="12" t="inlineStr">
        <is>
          <t>Т1–Т3</t>
        </is>
      </c>
      <c r="B36" s="12" t="inlineStr">
        <is>
          <t>класс теплоизоляции, для входных</t>
        </is>
      </c>
      <c r="C36" s="12" t="n"/>
    </row>
    <row r="37">
      <c r="A37" s="12" t="inlineStr">
        <is>
          <t>В1–В3</t>
        </is>
      </c>
      <c r="B37" s="12" t="inlineStr">
        <is>
          <t>класс воздухопроницаемости, для входных</t>
        </is>
      </c>
      <c r="C37" s="12" t="n"/>
    </row>
    <row r="38">
      <c r="A38" s="12" t="inlineStr">
        <is>
          <t>А–Д</t>
        </is>
      </c>
      <c r="B38" s="12" t="inlineStr">
        <is>
          <t>предел водонепроницаемости, только наружные</t>
        </is>
      </c>
      <c r="C38" s="12" t="n"/>
    </row>
    <row r="39">
      <c r="A39" s="11" t="inlineStr">
        <is>
          <t>ГОСТ Р 53307-2009</t>
        </is>
      </c>
      <c r="B39" s="11" t="n"/>
      <c r="C39" s="11" t="n"/>
    </row>
    <row r="40">
      <c r="A40" s="12" t="inlineStr">
        <is>
          <t>E</t>
        </is>
      </c>
      <c r="B40" s="12" t="inlineStr">
        <is>
          <t>предельное состояние: потеря целостности</t>
        </is>
      </c>
      <c r="C40" s="12" t="n"/>
    </row>
    <row r="41">
      <c r="A41" s="12" t="inlineStr">
        <is>
          <t>I</t>
        </is>
      </c>
      <c r="B41" s="12" t="inlineStr">
        <is>
          <t>предельное состояние: потеря теплоизолирующей способности</t>
        </is>
      </c>
      <c r="C41" s="12" t="n"/>
    </row>
    <row r="42">
      <c r="A42" s="11" t="inlineStr">
        <is>
          <t>ГОСТ 26602.3-2016</t>
        </is>
      </c>
      <c r="B42" s="11" t="n"/>
      <c r="C42" s="11" t="n"/>
    </row>
    <row r="43">
      <c r="A43" s="12" t="inlineStr">
        <is>
          <t>R</t>
        </is>
      </c>
      <c r="B43" s="12" t="inlineStr">
        <is>
          <t>изоляция воздушного шума, дБ</t>
        </is>
      </c>
      <c r="C43" s="12" t="n"/>
    </row>
    <row r="44">
      <c r="A44" s="12" t="inlineStr">
        <is>
          <t>Rw</t>
        </is>
      </c>
      <c r="B44" s="12" t="inlineStr">
        <is>
          <t>индекс изоляции воздушного шума, дБ</t>
        </is>
      </c>
      <c r="C44" s="12" t="n"/>
    </row>
    <row r="45">
      <c r="A45" s="12" t="inlineStr">
        <is>
          <t>RAтран</t>
        </is>
      </c>
      <c r="B45" s="12" t="inlineStr">
        <is>
          <t>снижение шума потока транспорта, дБА (для оконного блока)</t>
        </is>
      </c>
      <c r="C45" s="12" t="n"/>
    </row>
    <row r="46">
      <c r="A46" s="11" t="inlineStr">
        <is>
          <t>Стальные и противопожарные двери (названия сайта)</t>
        </is>
      </c>
      <c r="B46" s="11" t="n"/>
      <c r="C46" s="11" t="n"/>
    </row>
    <row r="47">
      <c r="A47" s="12" t="inlineStr">
        <is>
          <t>ДМ-1</t>
        </is>
      </c>
      <c r="B47" s="12" t="inlineStr">
        <is>
          <t>металлическая дверь, модель 1 (название сайта, буквы не расшифрованы)</t>
        </is>
      </c>
      <c r="C47" s="12" t="inlineStr">
        <is>
          <t>Дверь техническая ДМ-1, EI30/EI60 ДМ-1</t>
        </is>
      </c>
    </row>
    <row r="48">
      <c r="A48" s="12" t="inlineStr">
        <is>
          <t>ДМО-1</t>
        </is>
      </c>
      <c r="B48" s="12" t="inlineStr">
        <is>
          <t>металлическая дверь со стеклопакетом, модель 1 (в карточке — «Со стеклопакетом»)</t>
        </is>
      </c>
      <c r="C48" s="12" t="inlineStr">
        <is>
          <t>Дверь техническая ДМО-1</t>
        </is>
      </c>
    </row>
    <row r="49">
      <c r="A49" s="12" t="inlineStr">
        <is>
          <t>D300</t>
        </is>
      </c>
      <c r="B49" s="12" t="inlineStr">
        <is>
          <t>круглый стеклопакет диаметром 300 мм</t>
        </is>
      </c>
      <c r="C49" s="12" t="inlineStr">
        <is>
          <t>ДМО-1 D300</t>
        </is>
      </c>
    </row>
    <row r="50">
      <c r="A50" s="12" t="inlineStr">
        <is>
          <t>300х600 / 300х400</t>
        </is>
      </c>
      <c r="B50" s="12" t="inlineStr">
        <is>
          <t>размер стеклопакета, мм</t>
        </is>
      </c>
      <c r="C50" s="12" t="inlineStr">
        <is>
          <t>ДМО-1 300х600</t>
        </is>
      </c>
    </row>
    <row r="51">
      <c r="A51" s="12" t="inlineStr">
        <is>
          <t>EI90</t>
        </is>
      </c>
      <c r="B51" s="12" t="inlineStr">
        <is>
          <t>огнестойкость 90 мин по целостности и теплоизоляции</t>
        </is>
      </c>
      <c r="C51" s="12" t="inlineStr">
        <is>
          <t>противопожарные Ривер, Бетон, Космо и др.</t>
        </is>
      </c>
    </row>
    <row r="52">
      <c r="A52" s="12" t="inlineStr">
        <is>
          <t>MDF</t>
        </is>
      </c>
      <c r="B52" s="12" t="inlineStr">
        <is>
          <t>МДФ-панель отделки (латиницей в карточках)</t>
        </is>
      </c>
      <c r="C52" s="12" t="inlineStr">
        <is>
          <t>противопожарные</t>
        </is>
      </c>
    </row>
    <row r="53">
      <c r="A53" s="12" t="inlineStr">
        <is>
          <t>Reverse</t>
        </is>
      </c>
      <c r="B53" s="12" t="inlineStr">
        <is>
          <t>открывание Reverse (так в карточке)</t>
        </is>
      </c>
      <c r="C53" s="12" t="inlineStr">
        <is>
          <t>Бетон 05</t>
        </is>
      </c>
    </row>
    <row r="54">
      <c r="A54" s="12" t="inlineStr">
        <is>
          <t>2-й / 4-й класс</t>
        </is>
      </c>
      <c r="B54" s="12" t="inlineStr">
        <is>
          <t>класс замков (поле «Класс замков»)</t>
        </is>
      </c>
      <c r="C54" s="12" t="inlineStr">
        <is>
          <t>стальные</t>
        </is>
      </c>
    </row>
    <row r="55">
      <c r="A55" s="11" t="inlineStr">
        <is>
          <t>ГОСТ 31173-2016 (по примеру из открытого источника)</t>
        </is>
      </c>
      <c r="B55" s="11" t="n"/>
      <c r="C55" s="11" t="n"/>
    </row>
    <row r="56">
      <c r="A56" s="12" t="inlineStr">
        <is>
          <t>ДСН / ДСВ</t>
        </is>
      </c>
      <c r="B56" s="12" t="inlineStr">
        <is>
          <t>блок дверной стальной наружный / внутренний (Н/В — по классификации ГОСТ 31173: наружные и внутренние)</t>
        </is>
      </c>
      <c r="C56" s="12" t="n"/>
    </row>
    <row r="57">
      <c r="A57" s="12" t="inlineStr">
        <is>
          <t>Оп, А, М3, О, ЗМ, СП</t>
        </is>
      </c>
      <c r="B57" s="12" t="inlineStr">
        <is>
          <t>встречаются в примере марки «ДСН А Оп… М3 О — ГОСТ 31173»; ЗМ — закалённое стекло, СП — стеклопакет; остальные буквы по тексту стандарта не сверены</t>
        </is>
      </c>
      <c r="C57" s="12" t="n"/>
    </row>
    <row r="58">
      <c r="A58" s="11" t="inlineStr">
        <is>
          <t>ГОСТ 475-78</t>
        </is>
      </c>
      <c r="B58" s="11" t="n"/>
      <c r="C58" s="11" t="n"/>
    </row>
    <row r="59">
      <c r="A59" s="12" t="inlineStr">
        <is>
          <t>—</t>
        </is>
      </c>
      <c r="B59" s="12" t="inlineStr">
        <is>
          <t>стандарт утратил силу, заменён ГОСТ 475-2016; у 7 карточек сайта в поле «ГОСТ» указан он</t>
        </is>
      </c>
      <c r="C59" s="12" t="n"/>
    </row>
    <row r="60">
      <c r="A60" s="11" t="inlineStr">
        <is>
          <t>Материалы и покрытия</t>
        </is>
      </c>
      <c r="B60" s="11" t="n"/>
      <c r="C60" s="11" t="n"/>
    </row>
    <row r="61">
      <c r="A61" s="12" t="inlineStr">
        <is>
          <t>МДФ / ХДФ</t>
        </is>
      </c>
      <c r="B61" s="12" t="inlineStr">
        <is>
          <t>древесноволокнистая плита средней / высокой плотности</t>
        </is>
      </c>
      <c r="C61" s="12" t="n"/>
    </row>
    <row r="62">
      <c r="A62" s="12" t="inlineStr">
        <is>
          <t>ДСП</t>
        </is>
      </c>
      <c r="B62" s="12" t="inlineStr">
        <is>
          <t>древесностружечная плита</t>
        </is>
      </c>
      <c r="C62" s="12" t="n"/>
    </row>
    <row r="63">
      <c r="A63" s="12" t="inlineStr">
        <is>
          <t>ПВХ</t>
        </is>
      </c>
      <c r="B63" s="12" t="inlineStr">
        <is>
          <t>поливинилхлоридная плёнка (на сайте — «Винил»)</t>
        </is>
      </c>
      <c r="C63" s="12" t="n"/>
    </row>
    <row r="64">
      <c r="A64" s="12" t="inlineStr">
        <is>
          <t>CPL</t>
        </is>
      </c>
      <c r="B64" s="12" t="inlineStr">
        <is>
          <t>ламинат непрерывного прессования</t>
        </is>
      </c>
      <c r="C64" s="12" t="n"/>
    </row>
    <row r="65">
      <c r="A65" s="12" t="inlineStr">
        <is>
          <t>RAL</t>
        </is>
      </c>
      <c r="B65" s="12" t="inlineStr">
        <is>
          <t>цветовая шкала RAL</t>
        </is>
      </c>
      <c r="C65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1.11000061035156" customWidth="1" min="1" max="1"/>
    <col width="50" customWidth="1" min="2" max="2"/>
    <col width="28.88999938964844" customWidth="1" min="3" max="3"/>
    <col width="43.33000183105469" customWidth="1" min="4" max="4"/>
    <col width="94.44000244140625" customWidth="1" min="5" max="5"/>
  </cols>
  <sheetData>
    <row r="1">
      <c r="A1" s="13" t="n"/>
      <c r="B1" s="13" t="n"/>
      <c r="C1" s="13" t="n"/>
      <c r="D1" s="13" t="n"/>
      <c r="E1" s="13" t="n"/>
    </row>
    <row r="2">
      <c r="A2" s="14" t="inlineStr">
        <is>
          <t>ГОСТы и применение</t>
        </is>
      </c>
      <c r="B2" s="13" t="n"/>
      <c r="C2" s="13" t="n"/>
      <c r="D2" s="13" t="n"/>
      <c r="E2" s="13" t="n"/>
    </row>
    <row r="3">
      <c r="A3" s="13" t="inlineStr">
        <is>
          <t>Номер ГОСТа не определяет цену и не заменяет документы на конкретное исполнение.</t>
        </is>
      </c>
      <c r="B3" s="13" t="n"/>
      <c r="C3" s="13" t="n"/>
      <c r="D3" s="13" t="n"/>
      <c r="E3" s="13" t="n"/>
    </row>
    <row r="4">
      <c r="A4" s="15" t="n"/>
      <c r="B4" s="15" t="n"/>
      <c r="C4" s="15" t="n"/>
      <c r="D4" s="15" t="n"/>
      <c r="E4" s="15" t="n"/>
    </row>
    <row r="5">
      <c r="A5" s="16" t="inlineStr">
        <is>
          <t>ГОСТ</t>
        </is>
      </c>
      <c r="B5" s="16" t="inlineStr">
        <is>
          <t>Область</t>
        </is>
      </c>
      <c r="C5" s="16" t="inlineStr">
        <is>
          <t>Роль</t>
        </is>
      </c>
      <c r="D5" s="16" t="inlineStr">
        <is>
          <t>Замена</t>
        </is>
      </c>
      <c r="E5" s="16" t="inlineStr">
        <is>
          <t>Правило агента</t>
        </is>
      </c>
    </row>
    <row r="6">
      <c r="A6" s="17" t="inlineStr">
        <is>
          <t>ГОСТ 475-2026</t>
        </is>
      </c>
      <c r="B6" s="17" t="inlineStr">
        <is>
          <t>Деревянные и комбинированные дверные блоки</t>
        </is>
      </c>
      <c r="C6" s="17" t="inlineStr">
        <is>
          <t>Стандарт на изделие</t>
        </is>
      </c>
      <c r="D6" s="17" t="inlineStr">
        <is>
          <t>ГОСТ 475-2016</t>
        </is>
      </c>
      <c r="E6" s="17" t="inlineStr">
        <is>
          <t>Не подтверждает соответствие конкретной модели. Специальные противопожарные двери исключены из области применения.</t>
        </is>
      </c>
    </row>
    <row r="7">
      <c r="A7" s="18" t="inlineStr">
        <is>
          <t>ГОСТ 475-2016</t>
        </is>
      </c>
      <c r="B7" s="18" t="inlineStr">
        <is>
          <t>Деревянные и комбинированные дверные блоки</t>
        </is>
      </c>
      <c r="C7" s="18" t="inlineStr">
        <is>
          <t>Историческая редакция</t>
        </is>
      </c>
      <c r="D7" s="18" t="inlineStr">
        <is>
          <t>ГОСТ 475-2026</t>
        </is>
      </c>
      <c r="E7" s="18" t="inlineStr">
        <is>
          <t>Сохранять обозначение клиента. Не заменять год в паспорте и марке автоматически.</t>
        </is>
      </c>
    </row>
    <row r="8">
      <c r="A8" s="17" t="inlineStr">
        <is>
          <t>ГОСТ 475-78</t>
        </is>
      </c>
      <c r="B8" s="17" t="inlineStr">
        <is>
          <t>Деревянные двери</t>
        </is>
      </c>
      <c r="C8" s="17" t="inlineStr">
        <is>
          <t>Историческая редакция</t>
        </is>
      </c>
      <c r="D8" s="17" t="inlineStr">
        <is>
          <t>ГОСТ 475-2016 → ГОСТ 475-2026</t>
        </is>
      </c>
      <c r="E8" s="17" t="inlineStr">
        <is>
          <t>Понимать старые заявки, уточнять договорное требование.</t>
        </is>
      </c>
    </row>
    <row r="9">
      <c r="A9" s="18" t="inlineStr">
        <is>
          <t>ГОСТ 6629-88</t>
        </is>
      </c>
      <c r="B9" s="18" t="inlineStr">
        <is>
          <t>Внутренние деревянные двери</t>
        </is>
      </c>
      <c r="C9" s="18" t="inlineStr">
        <is>
          <t>Историческая маркировка</t>
        </is>
      </c>
      <c r="D9" s="18" t="inlineStr">
        <is>
          <t>ГОСТ 475-2016 → ГОСТ 475-2026</t>
        </is>
      </c>
      <c r="E9" s="18" t="inlineStr">
        <is>
          <t>ДГ 21-9: историческая марка и размер проёма, а не точный размер полотна.</t>
        </is>
      </c>
    </row>
    <row r="10">
      <c r="A10" s="17" t="inlineStr">
        <is>
          <t>ГОСТ 31173-2016</t>
        </is>
      </c>
      <c r="B10" s="17" t="inlineStr">
        <is>
          <t>Стальные дверные блоки</t>
        </is>
      </c>
      <c r="C10" s="17" t="inlineStr">
        <is>
          <t>Стандарт на изделие</t>
        </is>
      </c>
      <c r="D10" s="17" t="inlineStr">
        <is>
          <t>ГОСТ 31173-2003 заменён</t>
        </is>
      </c>
      <c r="E10" s="17" t="inlineStr">
        <is>
          <t>Назначение и характеристики проверять по паспорту. Размер блока относится к наружному контуру коробки.</t>
        </is>
      </c>
    </row>
    <row r="11">
      <c r="A11" s="18" t="inlineStr">
        <is>
          <t>ГОСТ 31173-2003</t>
        </is>
      </c>
      <c r="B11" s="18" t="inlineStr">
        <is>
          <t>Стальные дверные блоки</t>
        </is>
      </c>
      <c r="C11" s="18" t="inlineStr">
        <is>
          <t>Историческая редакция</t>
        </is>
      </c>
      <c r="D11" s="18" t="inlineStr">
        <is>
          <t>ГОСТ 31173-2016</t>
        </is>
      </c>
      <c r="E11" s="18" t="inlineStr">
        <is>
          <t>Не подменять требование заказчика новой редакцией без согласования.</t>
        </is>
      </c>
    </row>
    <row r="12">
      <c r="A12" s="17" t="inlineStr">
        <is>
          <t>ГОСТ Р 57327-2016</t>
        </is>
      </c>
      <c r="B12" s="17" t="inlineStr">
        <is>
          <t>Металлические противопожарные двери</t>
        </is>
      </c>
      <c r="C12" s="17" t="inlineStr">
        <is>
          <t>Стандарт на изделие</t>
        </is>
      </c>
      <c r="D12" s="17" t="n"/>
      <c r="E12" s="17" t="inlineStr">
        <is>
          <t>Распашные стальные двери, глухие или с остеклением до 25%. Нужны документы на конкретное исполнение.</t>
        </is>
      </c>
    </row>
    <row r="13">
      <c r="A13" s="18" t="inlineStr">
        <is>
          <t>ГОСТ Р 53307-2009</t>
        </is>
      </c>
      <c r="B13" s="18" t="inlineStr">
        <is>
          <t>Огнестойкость дверей, ворот и люков</t>
        </is>
      </c>
      <c r="C13" s="18" t="inlineStr">
        <is>
          <t>Метод испытания</t>
        </is>
      </c>
      <c r="D13" s="18" t="n"/>
      <c r="E13" s="18" t="inlineStr">
        <is>
          <t>Номер метода не присваивает EI модели. Дымогазопроницаемость им не подтверждается.</t>
        </is>
      </c>
    </row>
    <row r="14">
      <c r="A14" s="17" t="inlineStr">
        <is>
          <t>ГОСТ 26602.3-2016</t>
        </is>
      </c>
      <c r="B14" s="17" t="inlineStr">
        <is>
          <t>Звукоизоляция оконных и дверных блоков</t>
        </is>
      </c>
      <c r="C14" s="17" t="inlineStr">
        <is>
          <t>Метод испытания</t>
        </is>
      </c>
      <c r="D14" s="17" t="n"/>
      <c r="E14" s="17" t="inlineStr">
        <is>
          <t>Не присваивать Rw по одному номеру стандарта или диапазону рекламного описания.</t>
        </is>
      </c>
    </row>
    <row r="15">
      <c r="A15" s="18" t="inlineStr">
        <is>
          <t>ГОСТ Р 53303-2009</t>
        </is>
      </c>
      <c r="B15" s="18" t="inlineStr">
        <is>
          <t>Дымогазопроницаемость противопожарных дверей и ворот</t>
        </is>
      </c>
      <c r="C15" s="18" t="inlineStr">
        <is>
          <t>Метод испытания</t>
        </is>
      </c>
      <c r="D15" s="18" t="n"/>
      <c r="E15" s="18" t="inlineStr">
        <is>
          <t>Уплотнитель и EI не доказывают наличие показателя S.</t>
        </is>
      </c>
    </row>
    <row r="16">
      <c r="A16" s="17" t="inlineStr">
        <is>
          <t>ГОСТ Р 53308-2009</t>
        </is>
      </c>
      <c r="B16" s="17" t="inlineStr">
        <is>
          <t>Огнестойкость светопрозрачных конструкций</t>
        </is>
      </c>
      <c r="C16" s="17" t="inlineStr">
        <is>
          <t>Смежный метод испытания</t>
        </is>
      </c>
      <c r="D16" s="17" t="n"/>
      <c r="E16" s="17" t="inlineStr">
        <is>
          <t>Светопрозрачные и сильно остеклённые изделия не подбирать как обычные EI по сходству. Цен в этих прайсах нет.</t>
        </is>
      </c>
    </row>
    <row r="17">
      <c r="A17" s="18" t="inlineStr">
        <is>
          <t>ГОСТ 30970-2023</t>
        </is>
      </c>
      <c r="B17" s="18" t="inlineStr">
        <is>
          <t>Блоки из ПВХ-профилей</t>
        </is>
      </c>
      <c r="C17" s="18" t="inlineStr">
        <is>
          <t>За пределами этих цен</t>
        </is>
      </c>
      <c r="D17" s="18" t="n"/>
      <c r="E17" s="18" t="inlineStr">
        <is>
          <t>ПВХ-профиль не равен деревянному полотну с ПВХ-плёнкой. Отдельного прайса нет.</t>
        </is>
      </c>
    </row>
    <row r="18">
      <c r="A18" s="18" t="inlineStr">
        <is>
          <t>ГОСТ 23747-2015</t>
        </is>
      </c>
      <c r="B18" s="18" t="inlineStr">
        <is>
          <t>Блоки дверные из алюминиевых сплавов</t>
        </is>
      </c>
      <c r="C18" s="18" t="inlineStr">
        <is>
          <t>Стандарт на изделие</t>
        </is>
      </c>
      <c r="D18" s="18" t="n"/>
      <c r="E18" s="18" t="inlineStr">
        <is>
          <t>Распознавать отдельно от стальных и деревянных дверей. Учитывать изменения и поправки, включая ИУС 7-2026. Не присваивать соответствие конкретной модели по номеру стандарта.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.32999992370605" customWidth="1" min="1" max="1"/>
    <col width="12.77999973297119" customWidth="1" min="2" max="2"/>
    <col width="14.4399995803833" customWidth="1" min="3" max="3"/>
    <col width="14.4399995803833" customWidth="1" min="4" max="4"/>
    <col width="17.78000068664551" customWidth="1" min="5" max="5"/>
    <col width="34.43999862670898" customWidth="1" min="6" max="6"/>
  </cols>
  <sheetData>
    <row r="1">
      <c r="A1" s="13" t="n"/>
      <c r="B1" s="13" t="n"/>
      <c r="C1" s="13" t="n"/>
      <c r="D1" s="13" t="n"/>
      <c r="E1" s="13" t="n"/>
      <c r="F1" s="13" t="n"/>
    </row>
    <row r="2">
      <c r="A2" s="14" t="inlineStr">
        <is>
          <t>Стандартные размеры</t>
        </is>
      </c>
      <c r="B2" s="13" t="n"/>
      <c r="C2" s="13" t="n"/>
      <c r="D2" s="13" t="n"/>
      <c r="E2" s="13" t="n"/>
      <c r="F2" s="13" t="n"/>
    </row>
    <row r="3">
      <c r="A3" s="13" t="inlineStr">
        <is>
          <t>Все размеры Ш×В, мм. leaf — полотно, block — блок, leaf_pair — пара полотен; отдельные ширины створок в JSON.</t>
        </is>
      </c>
      <c r="B3" s="13" t="n"/>
      <c r="C3" s="13" t="n"/>
      <c r="D3" s="13" t="n"/>
      <c r="E3" s="13" t="n"/>
      <c r="F3" s="13" t="n"/>
    </row>
    <row r="4">
      <c r="A4" s="15" t="n"/>
      <c r="B4" s="15" t="n"/>
      <c r="C4" s="15" t="n"/>
      <c r="D4" s="15" t="n"/>
      <c r="E4" s="15" t="n"/>
      <c r="F4" s="15" t="n"/>
    </row>
    <row r="5">
      <c r="A5" s="16" t="inlineStr">
        <is>
          <t>size_id</t>
        </is>
      </c>
      <c r="B5" s="16" t="inlineStr">
        <is>
          <t>product_id</t>
        </is>
      </c>
      <c r="C5" s="16" t="inlineStr">
        <is>
          <t>width_mm</t>
        </is>
      </c>
      <c r="D5" s="16" t="inlineStr">
        <is>
          <t>height_mm</t>
        </is>
      </c>
      <c r="E5" s="16" t="inlineStr">
        <is>
          <t>basis</t>
        </is>
      </c>
      <c r="F5" s="16" t="inlineStr">
        <is>
          <t>leaf_widths_mm JSON</t>
        </is>
      </c>
    </row>
    <row r="6">
      <c r="A6" s="17" t="inlineStr">
        <is>
          <t>MET-001-S001</t>
        </is>
      </c>
      <c r="B6" s="17" t="inlineStr">
        <is>
          <t>MET-001</t>
        </is>
      </c>
      <c r="C6" s="19" t="n">
        <v>860</v>
      </c>
      <c r="D6" s="19" t="n">
        <v>2050</v>
      </c>
      <c r="E6" s="17" t="inlineStr">
        <is>
          <t>leaf</t>
        </is>
      </c>
      <c r="F6" s="17" t="inlineStr">
        <is>
          <t>null</t>
        </is>
      </c>
    </row>
    <row r="7">
      <c r="A7" s="18" t="inlineStr">
        <is>
          <t>MET-001-S002</t>
        </is>
      </c>
      <c r="B7" s="18" t="inlineStr">
        <is>
          <t>MET-001</t>
        </is>
      </c>
      <c r="C7" s="20" t="n">
        <v>860</v>
      </c>
      <c r="D7" s="20" t="n">
        <v>2600</v>
      </c>
      <c r="E7" s="18" t="inlineStr">
        <is>
          <t>leaf</t>
        </is>
      </c>
      <c r="F7" s="18" t="inlineStr">
        <is>
          <t>null</t>
        </is>
      </c>
    </row>
    <row r="8">
      <c r="A8" s="17" t="inlineStr">
        <is>
          <t>MET-001-S003</t>
        </is>
      </c>
      <c r="B8" s="17" t="inlineStr">
        <is>
          <t>MET-001</t>
        </is>
      </c>
      <c r="C8" s="19" t="n">
        <v>960</v>
      </c>
      <c r="D8" s="19" t="n">
        <v>2050</v>
      </c>
      <c r="E8" s="17" t="inlineStr">
        <is>
          <t>leaf</t>
        </is>
      </c>
      <c r="F8" s="17" t="inlineStr">
        <is>
          <t>null</t>
        </is>
      </c>
    </row>
    <row r="9">
      <c r="A9" s="18" t="inlineStr">
        <is>
          <t>MET-001-S004</t>
        </is>
      </c>
      <c r="B9" s="18" t="inlineStr">
        <is>
          <t>MET-001</t>
        </is>
      </c>
      <c r="C9" s="20" t="n">
        <v>960</v>
      </c>
      <c r="D9" s="20" t="n">
        <v>2600</v>
      </c>
      <c r="E9" s="18" t="inlineStr">
        <is>
          <t>leaf</t>
        </is>
      </c>
      <c r="F9" s="18" t="inlineStr">
        <is>
          <t>null</t>
        </is>
      </c>
    </row>
    <row r="10">
      <c r="A10" s="17" t="inlineStr">
        <is>
          <t>MET-002-S001</t>
        </is>
      </c>
      <c r="B10" s="17" t="inlineStr">
        <is>
          <t>MET-002</t>
        </is>
      </c>
      <c r="C10" s="19" t="n">
        <v>860</v>
      </c>
      <c r="D10" s="19" t="n">
        <v>2050</v>
      </c>
      <c r="E10" s="17" t="inlineStr">
        <is>
          <t>leaf</t>
        </is>
      </c>
      <c r="F10" s="17" t="inlineStr">
        <is>
          <t>null</t>
        </is>
      </c>
    </row>
    <row r="11">
      <c r="A11" s="18" t="inlineStr">
        <is>
          <t>MET-002-S002</t>
        </is>
      </c>
      <c r="B11" s="18" t="inlineStr">
        <is>
          <t>MET-002</t>
        </is>
      </c>
      <c r="C11" s="20" t="n">
        <v>860</v>
      </c>
      <c r="D11" s="20" t="n">
        <v>2600</v>
      </c>
      <c r="E11" s="18" t="inlineStr">
        <is>
          <t>leaf</t>
        </is>
      </c>
      <c r="F11" s="18" t="inlineStr">
        <is>
          <t>null</t>
        </is>
      </c>
    </row>
    <row r="12">
      <c r="A12" s="17" t="inlineStr">
        <is>
          <t>MET-002-S003</t>
        </is>
      </c>
      <c r="B12" s="17" t="inlineStr">
        <is>
          <t>MET-002</t>
        </is>
      </c>
      <c r="C12" s="19" t="n">
        <v>960</v>
      </c>
      <c r="D12" s="19" t="n">
        <v>2050</v>
      </c>
      <c r="E12" s="17" t="inlineStr">
        <is>
          <t>leaf</t>
        </is>
      </c>
      <c r="F12" s="17" t="inlineStr">
        <is>
          <t>null</t>
        </is>
      </c>
    </row>
    <row r="13">
      <c r="A13" s="18" t="inlineStr">
        <is>
          <t>MET-002-S004</t>
        </is>
      </c>
      <c r="B13" s="18" t="inlineStr">
        <is>
          <t>MET-002</t>
        </is>
      </c>
      <c r="C13" s="20" t="n">
        <v>960</v>
      </c>
      <c r="D13" s="20" t="n">
        <v>2600</v>
      </c>
      <c r="E13" s="18" t="inlineStr">
        <is>
          <t>leaf</t>
        </is>
      </c>
      <c r="F13" s="18" t="inlineStr">
        <is>
          <t>null</t>
        </is>
      </c>
    </row>
    <row r="14">
      <c r="A14" s="17" t="inlineStr">
        <is>
          <t>MET-003-S001</t>
        </is>
      </c>
      <c r="B14" s="17" t="inlineStr">
        <is>
          <t>MET-003</t>
        </is>
      </c>
      <c r="C14" s="19" t="n">
        <v>860</v>
      </c>
      <c r="D14" s="19" t="n">
        <v>2050</v>
      </c>
      <c r="E14" s="17" t="inlineStr">
        <is>
          <t>leaf</t>
        </is>
      </c>
      <c r="F14" s="17" t="inlineStr">
        <is>
          <t>null</t>
        </is>
      </c>
    </row>
    <row r="15">
      <c r="A15" s="18" t="inlineStr">
        <is>
          <t>MET-003-S002</t>
        </is>
      </c>
      <c r="B15" s="18" t="inlineStr">
        <is>
          <t>MET-003</t>
        </is>
      </c>
      <c r="C15" s="20" t="n">
        <v>860</v>
      </c>
      <c r="D15" s="20" t="n">
        <v>2600</v>
      </c>
      <c r="E15" s="18" t="inlineStr">
        <is>
          <t>leaf</t>
        </is>
      </c>
      <c r="F15" s="18" t="inlineStr">
        <is>
          <t>null</t>
        </is>
      </c>
    </row>
    <row r="16">
      <c r="A16" s="17" t="inlineStr">
        <is>
          <t>MET-003-S003</t>
        </is>
      </c>
      <c r="B16" s="17" t="inlineStr">
        <is>
          <t>MET-003</t>
        </is>
      </c>
      <c r="C16" s="19" t="n">
        <v>960</v>
      </c>
      <c r="D16" s="19" t="n">
        <v>2050</v>
      </c>
      <c r="E16" s="17" t="inlineStr">
        <is>
          <t>leaf</t>
        </is>
      </c>
      <c r="F16" s="17" t="inlineStr">
        <is>
          <t>null</t>
        </is>
      </c>
    </row>
    <row r="17">
      <c r="A17" s="18" t="inlineStr">
        <is>
          <t>MET-003-S004</t>
        </is>
      </c>
      <c r="B17" s="18" t="inlineStr">
        <is>
          <t>MET-003</t>
        </is>
      </c>
      <c r="C17" s="20" t="n">
        <v>960</v>
      </c>
      <c r="D17" s="20" t="n">
        <v>2600</v>
      </c>
      <c r="E17" s="18" t="inlineStr">
        <is>
          <t>leaf</t>
        </is>
      </c>
      <c r="F17" s="18" t="inlineStr">
        <is>
          <t>null</t>
        </is>
      </c>
    </row>
    <row r="18">
      <c r="A18" s="17" t="inlineStr">
        <is>
          <t>MET-004-S001</t>
        </is>
      </c>
      <c r="B18" s="17" t="inlineStr">
        <is>
          <t>MET-004</t>
        </is>
      </c>
      <c r="C18" s="19" t="n">
        <v>1100</v>
      </c>
      <c r="D18" s="19" t="n">
        <v>2050</v>
      </c>
      <c r="E18" s="17" t="inlineStr">
        <is>
          <t>leaf_pair</t>
        </is>
      </c>
      <c r="F18" s="17" t="inlineStr">
        <is>
          <t>[300,800]</t>
        </is>
      </c>
    </row>
    <row r="19">
      <c r="A19" s="18" t="inlineStr">
        <is>
          <t>MET-004-S002</t>
        </is>
      </c>
      <c r="B19" s="18" t="inlineStr">
        <is>
          <t>MET-004</t>
        </is>
      </c>
      <c r="C19" s="20" t="n">
        <v>1200</v>
      </c>
      <c r="D19" s="20" t="n">
        <v>2050</v>
      </c>
      <c r="E19" s="18" t="inlineStr">
        <is>
          <t>leaf_pair</t>
        </is>
      </c>
      <c r="F19" s="18" t="inlineStr">
        <is>
          <t>[300,900]</t>
        </is>
      </c>
    </row>
    <row r="20">
      <c r="A20" s="17" t="inlineStr">
        <is>
          <t>MET-004-S003</t>
        </is>
      </c>
      <c r="B20" s="17" t="inlineStr">
        <is>
          <t>MET-004</t>
        </is>
      </c>
      <c r="C20" s="19" t="n">
        <v>1300</v>
      </c>
      <c r="D20" s="19" t="n">
        <v>2050</v>
      </c>
      <c r="E20" s="17" t="inlineStr">
        <is>
          <t>leaf_pair</t>
        </is>
      </c>
      <c r="F20" s="17" t="inlineStr">
        <is>
          <t>[300,1000]</t>
        </is>
      </c>
    </row>
    <row r="21">
      <c r="A21" s="18" t="inlineStr">
        <is>
          <t>MET-004-S004</t>
        </is>
      </c>
      <c r="B21" s="18" t="inlineStr">
        <is>
          <t>MET-004</t>
        </is>
      </c>
      <c r="C21" s="20" t="n">
        <v>1400</v>
      </c>
      <c r="D21" s="20" t="n">
        <v>2050</v>
      </c>
      <c r="E21" s="18" t="inlineStr">
        <is>
          <t>leaf_pair</t>
        </is>
      </c>
      <c r="F21" s="18" t="inlineStr">
        <is>
          <t>[400,1000]</t>
        </is>
      </c>
    </row>
    <row r="22">
      <c r="A22" s="17" t="inlineStr">
        <is>
          <t>MET-004-S005</t>
        </is>
      </c>
      <c r="B22" s="17" t="inlineStr">
        <is>
          <t>MET-004</t>
        </is>
      </c>
      <c r="C22" s="19" t="n">
        <v>1500</v>
      </c>
      <c r="D22" s="19" t="n">
        <v>2050</v>
      </c>
      <c r="E22" s="17" t="inlineStr">
        <is>
          <t>leaf_pair</t>
        </is>
      </c>
      <c r="F22" s="17" t="inlineStr">
        <is>
          <t>[400,1100]</t>
        </is>
      </c>
    </row>
    <row r="23">
      <c r="A23" s="18" t="inlineStr">
        <is>
          <t>MET-004-S006</t>
        </is>
      </c>
      <c r="B23" s="18" t="inlineStr">
        <is>
          <t>MET-004</t>
        </is>
      </c>
      <c r="C23" s="20" t="n">
        <v>1600</v>
      </c>
      <c r="D23" s="20" t="n">
        <v>2050</v>
      </c>
      <c r="E23" s="18" t="inlineStr">
        <is>
          <t>leaf_pair</t>
        </is>
      </c>
      <c r="F23" s="18" t="inlineStr">
        <is>
          <t>[400,1200]</t>
        </is>
      </c>
    </row>
    <row r="24">
      <c r="A24" s="17" t="inlineStr">
        <is>
          <t>MET-004-S007</t>
        </is>
      </c>
      <c r="B24" s="17" t="inlineStr">
        <is>
          <t>MET-004</t>
        </is>
      </c>
      <c r="C24" s="19" t="n">
        <v>1100</v>
      </c>
      <c r="D24" s="19" t="n">
        <v>2600</v>
      </c>
      <c r="E24" s="17" t="inlineStr">
        <is>
          <t>leaf_pair</t>
        </is>
      </c>
      <c r="F24" s="17" t="inlineStr">
        <is>
          <t>[300,800]</t>
        </is>
      </c>
    </row>
    <row r="25">
      <c r="A25" s="18" t="inlineStr">
        <is>
          <t>MET-004-S008</t>
        </is>
      </c>
      <c r="B25" s="18" t="inlineStr">
        <is>
          <t>MET-004</t>
        </is>
      </c>
      <c r="C25" s="20" t="n">
        <v>1200</v>
      </c>
      <c r="D25" s="20" t="n">
        <v>2600</v>
      </c>
      <c r="E25" s="18" t="inlineStr">
        <is>
          <t>leaf_pair</t>
        </is>
      </c>
      <c r="F25" s="18" t="inlineStr">
        <is>
          <t>[300,900]</t>
        </is>
      </c>
    </row>
    <row r="26">
      <c r="A26" s="17" t="inlineStr">
        <is>
          <t>MET-004-S009</t>
        </is>
      </c>
      <c r="B26" s="17" t="inlineStr">
        <is>
          <t>MET-004</t>
        </is>
      </c>
      <c r="C26" s="19" t="n">
        <v>1300</v>
      </c>
      <c r="D26" s="19" t="n">
        <v>2600</v>
      </c>
      <c r="E26" s="17" t="inlineStr">
        <is>
          <t>leaf_pair</t>
        </is>
      </c>
      <c r="F26" s="17" t="inlineStr">
        <is>
          <t>[300,1000]</t>
        </is>
      </c>
    </row>
    <row r="27">
      <c r="A27" s="18" t="inlineStr">
        <is>
          <t>MET-004-S010</t>
        </is>
      </c>
      <c r="B27" s="18" t="inlineStr">
        <is>
          <t>MET-004</t>
        </is>
      </c>
      <c r="C27" s="20" t="n">
        <v>1400</v>
      </c>
      <c r="D27" s="20" t="n">
        <v>2600</v>
      </c>
      <c r="E27" s="18" t="inlineStr">
        <is>
          <t>leaf_pair</t>
        </is>
      </c>
      <c r="F27" s="18" t="inlineStr">
        <is>
          <t>[400,1000]</t>
        </is>
      </c>
    </row>
    <row r="28">
      <c r="A28" s="17" t="inlineStr">
        <is>
          <t>MET-004-S011</t>
        </is>
      </c>
      <c r="B28" s="17" t="inlineStr">
        <is>
          <t>MET-004</t>
        </is>
      </c>
      <c r="C28" s="19" t="n">
        <v>1500</v>
      </c>
      <c r="D28" s="19" t="n">
        <v>2600</v>
      </c>
      <c r="E28" s="17" t="inlineStr">
        <is>
          <t>leaf_pair</t>
        </is>
      </c>
      <c r="F28" s="17" t="inlineStr">
        <is>
          <t>[400,1100]</t>
        </is>
      </c>
    </row>
    <row r="29">
      <c r="A29" s="18" t="inlineStr">
        <is>
          <t>MET-004-S012</t>
        </is>
      </c>
      <c r="B29" s="18" t="inlineStr">
        <is>
          <t>MET-004</t>
        </is>
      </c>
      <c r="C29" s="20" t="n">
        <v>1600</v>
      </c>
      <c r="D29" s="20" t="n">
        <v>2600</v>
      </c>
      <c r="E29" s="18" t="inlineStr">
        <is>
          <t>leaf_pair</t>
        </is>
      </c>
      <c r="F29" s="18" t="inlineStr">
        <is>
          <t>[400,1200]</t>
        </is>
      </c>
    </row>
    <row r="30">
      <c r="A30" s="17" t="inlineStr">
        <is>
          <t>MET-005-S001</t>
        </is>
      </c>
      <c r="B30" s="17" t="inlineStr">
        <is>
          <t>MET-005</t>
        </is>
      </c>
      <c r="C30" s="19" t="n">
        <v>860</v>
      </c>
      <c r="D30" s="19" t="n">
        <v>2050</v>
      </c>
      <c r="E30" s="17" t="inlineStr">
        <is>
          <t>leaf</t>
        </is>
      </c>
      <c r="F30" s="17" t="inlineStr">
        <is>
          <t>null</t>
        </is>
      </c>
    </row>
    <row r="31">
      <c r="A31" s="18" t="inlineStr">
        <is>
          <t>MET-005-S002</t>
        </is>
      </c>
      <c r="B31" s="18" t="inlineStr">
        <is>
          <t>MET-005</t>
        </is>
      </c>
      <c r="C31" s="20" t="n">
        <v>860</v>
      </c>
      <c r="D31" s="20" t="n">
        <v>2600</v>
      </c>
      <c r="E31" s="18" t="inlineStr">
        <is>
          <t>leaf</t>
        </is>
      </c>
      <c r="F31" s="18" t="inlineStr">
        <is>
          <t>null</t>
        </is>
      </c>
    </row>
    <row r="32">
      <c r="A32" s="17" t="inlineStr">
        <is>
          <t>MET-005-S003</t>
        </is>
      </c>
      <c r="B32" s="17" t="inlineStr">
        <is>
          <t>MET-005</t>
        </is>
      </c>
      <c r="C32" s="19" t="n">
        <v>960</v>
      </c>
      <c r="D32" s="19" t="n">
        <v>2050</v>
      </c>
      <c r="E32" s="17" t="inlineStr">
        <is>
          <t>leaf</t>
        </is>
      </c>
      <c r="F32" s="17" t="inlineStr">
        <is>
          <t>null</t>
        </is>
      </c>
    </row>
    <row r="33">
      <c r="A33" s="18" t="inlineStr">
        <is>
          <t>MET-005-S004</t>
        </is>
      </c>
      <c r="B33" s="18" t="inlineStr">
        <is>
          <t>MET-005</t>
        </is>
      </c>
      <c r="C33" s="20" t="n">
        <v>960</v>
      </c>
      <c r="D33" s="20" t="n">
        <v>2600</v>
      </c>
      <c r="E33" s="18" t="inlineStr">
        <is>
          <t>leaf</t>
        </is>
      </c>
      <c r="F33" s="18" t="inlineStr">
        <is>
          <t>null</t>
        </is>
      </c>
    </row>
    <row r="34">
      <c r="A34" s="17" t="inlineStr">
        <is>
          <t>MET-006-S001</t>
        </is>
      </c>
      <c r="B34" s="17" t="inlineStr">
        <is>
          <t>MET-006</t>
        </is>
      </c>
      <c r="C34" s="19" t="n">
        <v>860</v>
      </c>
      <c r="D34" s="19" t="n">
        <v>2050</v>
      </c>
      <c r="E34" s="17" t="inlineStr">
        <is>
          <t>leaf</t>
        </is>
      </c>
      <c r="F34" s="17" t="inlineStr">
        <is>
          <t>null</t>
        </is>
      </c>
    </row>
    <row r="35">
      <c r="A35" s="18" t="inlineStr">
        <is>
          <t>MET-006-S002</t>
        </is>
      </c>
      <c r="B35" s="18" t="inlineStr">
        <is>
          <t>MET-006</t>
        </is>
      </c>
      <c r="C35" s="20" t="n">
        <v>860</v>
      </c>
      <c r="D35" s="20" t="n">
        <v>2600</v>
      </c>
      <c r="E35" s="18" t="inlineStr">
        <is>
          <t>leaf</t>
        </is>
      </c>
      <c r="F35" s="18" t="inlineStr">
        <is>
          <t>null</t>
        </is>
      </c>
    </row>
    <row r="36">
      <c r="A36" s="17" t="inlineStr">
        <is>
          <t>MET-006-S003</t>
        </is>
      </c>
      <c r="B36" s="17" t="inlineStr">
        <is>
          <t>MET-006</t>
        </is>
      </c>
      <c r="C36" s="19" t="n">
        <v>960</v>
      </c>
      <c r="D36" s="19" t="n">
        <v>2050</v>
      </c>
      <c r="E36" s="17" t="inlineStr">
        <is>
          <t>leaf</t>
        </is>
      </c>
      <c r="F36" s="17" t="inlineStr">
        <is>
          <t>null</t>
        </is>
      </c>
    </row>
    <row r="37">
      <c r="A37" s="18" t="inlineStr">
        <is>
          <t>MET-006-S004</t>
        </is>
      </c>
      <c r="B37" s="18" t="inlineStr">
        <is>
          <t>MET-006</t>
        </is>
      </c>
      <c r="C37" s="20" t="n">
        <v>960</v>
      </c>
      <c r="D37" s="20" t="n">
        <v>2600</v>
      </c>
      <c r="E37" s="18" t="inlineStr">
        <is>
          <t>leaf</t>
        </is>
      </c>
      <c r="F37" s="18" t="inlineStr">
        <is>
          <t>null</t>
        </is>
      </c>
    </row>
    <row r="38">
      <c r="A38" s="18" t="inlineStr">
        <is>
          <t>MET-007-S001</t>
        </is>
      </c>
      <c r="B38" s="18" t="inlineStr">
        <is>
          <t>MET-007</t>
        </is>
      </c>
      <c r="C38" s="20" t="n">
        <v>1600</v>
      </c>
      <c r="D38" s="20" t="n">
        <v>2000</v>
      </c>
      <c r="E38" s="18" t="inlineStr">
        <is>
          <t>block</t>
        </is>
      </c>
      <c r="F38" s="18" t="inlineStr">
        <is>
          <t>null</t>
        </is>
      </c>
    </row>
    <row r="39">
      <c r="A39" s="18" t="inlineStr">
        <is>
          <t>MET-008-S001</t>
        </is>
      </c>
      <c r="B39" s="18" t="inlineStr">
        <is>
          <t>MET-008</t>
        </is>
      </c>
      <c r="C39" s="20" t="n">
        <v>1600</v>
      </c>
      <c r="D39" s="20" t="n">
        <v>2000</v>
      </c>
      <c r="E39" s="18" t="inlineStr">
        <is>
          <t>block</t>
        </is>
      </c>
      <c r="F39" s="18" t="inlineStr">
        <is>
          <t>null</t>
        </is>
      </c>
    </row>
    <row r="40">
      <c r="A40" s="18" t="inlineStr">
        <is>
          <t>ALU-001-S001</t>
        </is>
      </c>
      <c r="B40" s="18" t="inlineStr">
        <is>
          <t>ALU-001</t>
        </is>
      </c>
      <c r="C40" s="20" t="n">
        <v>900</v>
      </c>
      <c r="D40" s="20" t="n">
        <v>2100</v>
      </c>
      <c r="E40" s="18" t="inlineStr">
        <is>
          <t>block</t>
        </is>
      </c>
      <c r="F40" s="18" t="inlineStr">
        <is>
          <t>null</t>
        </is>
      </c>
    </row>
    <row r="41">
      <c r="A41" s="18" t="inlineStr">
        <is>
          <t>ALU-002-S001</t>
        </is>
      </c>
      <c r="B41" s="18" t="inlineStr">
        <is>
          <t>ALU-002</t>
        </is>
      </c>
      <c r="C41" s="20" t="n">
        <v>1400</v>
      </c>
      <c r="D41" s="20" t="n">
        <v>2100</v>
      </c>
      <c r="E41" s="18" t="inlineStr">
        <is>
          <t>block</t>
        </is>
      </c>
      <c r="F41" s="18" t="inlineStr">
        <is>
          <t>null</t>
        </is>
      </c>
    </row>
    <row r="42">
      <c r="A42" s="21" t="inlineStr">
        <is>
          <t>MET-009-S001</t>
        </is>
      </c>
      <c r="B42" s="21" t="inlineStr">
        <is>
          <t>MET-009</t>
        </is>
      </c>
      <c r="C42" s="22" t="n">
        <v>900</v>
      </c>
      <c r="D42" s="22" t="n">
        <v>2100</v>
      </c>
      <c r="E42" s="21" t="inlineStr">
        <is>
          <t>block</t>
        </is>
      </c>
      <c r="F42" s="21" t="inlineStr">
        <is>
          <t>null</t>
        </is>
      </c>
    </row>
    <row r="43">
      <c r="A43" s="23" t="inlineStr">
        <is>
          <t>MET-010-S001</t>
        </is>
      </c>
      <c r="B43" s="23" t="inlineStr">
        <is>
          <t>MET-010</t>
        </is>
      </c>
      <c r="C43" s="24" t="n">
        <v>900</v>
      </c>
      <c r="D43" s="24" t="n">
        <v>2100</v>
      </c>
      <c r="E43" s="23" t="inlineStr">
        <is>
          <t>block</t>
        </is>
      </c>
      <c r="F43" s="23" t="inlineStr">
        <is>
          <t>null</t>
        </is>
      </c>
    </row>
    <row r="44">
      <c r="A44" s="21" t="inlineStr">
        <is>
          <t>MET-011-S001</t>
        </is>
      </c>
      <c r="B44" s="21" t="inlineStr">
        <is>
          <t>MET-011</t>
        </is>
      </c>
      <c r="C44" s="22" t="n">
        <v>1600</v>
      </c>
      <c r="D44" s="22" t="n">
        <v>2050</v>
      </c>
      <c r="E44" s="21" t="inlineStr">
        <is>
          <t>block</t>
        </is>
      </c>
      <c r="F44" s="21" t="inlineStr">
        <is>
          <t>null</t>
        </is>
      </c>
    </row>
    <row r="45">
      <c r="A45" s="23" t="inlineStr">
        <is>
          <t>MET-012-S001</t>
        </is>
      </c>
      <c r="B45" s="23" t="inlineStr">
        <is>
          <t>MET-012</t>
        </is>
      </c>
      <c r="C45" s="24" t="n">
        <v>850</v>
      </c>
      <c r="D45" s="24" t="n">
        <v>2050</v>
      </c>
      <c r="E45" s="23" t="inlineStr">
        <is>
          <t>block</t>
        </is>
      </c>
      <c r="F45" s="23" t="inlineStr">
        <is>
          <t>null</t>
        </is>
      </c>
    </row>
    <row r="46">
      <c r="A46" s="21" t="inlineStr">
        <is>
          <t>MET-013-S001</t>
        </is>
      </c>
      <c r="B46" s="21" t="inlineStr">
        <is>
          <t>MET-013</t>
        </is>
      </c>
      <c r="C46" s="22" t="n">
        <v>1200</v>
      </c>
      <c r="D46" s="22" t="n">
        <v>2000</v>
      </c>
      <c r="E46" s="21" t="inlineStr">
        <is>
          <t>opening</t>
        </is>
      </c>
      <c r="F46" s="21" t="inlineStr">
        <is>
          <t>null</t>
        </is>
      </c>
    </row>
    <row r="47">
      <c r="A47" s="23" t="inlineStr">
        <is>
          <t>ALU-003-S001</t>
        </is>
      </c>
      <c r="B47" s="23" t="inlineStr">
        <is>
          <t>ALU-003</t>
        </is>
      </c>
      <c r="C47" s="24" t="n">
        <v>900</v>
      </c>
      <c r="D47" s="24" t="n">
        <v>2000</v>
      </c>
      <c r="E47" s="23" t="inlineStr">
        <is>
          <t>block</t>
        </is>
      </c>
      <c r="F47" s="23" t="inlineStr">
        <is>
          <t>null</t>
        </is>
      </c>
    </row>
    <row r="48">
      <c r="A48" s="21" t="inlineStr">
        <is>
          <t>ALU-004-S001</t>
        </is>
      </c>
      <c r="B48" s="21" t="inlineStr">
        <is>
          <t>ALU-004</t>
        </is>
      </c>
      <c r="C48" s="22" t="n">
        <v>1300</v>
      </c>
      <c r="D48" s="22" t="n">
        <v>2000</v>
      </c>
      <c r="E48" s="21" t="inlineStr">
        <is>
          <t>block</t>
        </is>
      </c>
      <c r="F48" s="21" t="inlineStr">
        <is>
          <t>null</t>
        </is>
      </c>
    </row>
    <row r="49">
      <c r="A49" s="23" t="inlineStr">
        <is>
          <t>ALU-005-S001</t>
        </is>
      </c>
      <c r="B49" s="23" t="inlineStr">
        <is>
          <t>ALU-005</t>
        </is>
      </c>
      <c r="C49" s="24" t="n">
        <v>1500</v>
      </c>
      <c r="D49" s="24" t="n">
        <v>2700</v>
      </c>
      <c r="E49" s="23" t="inlineStr">
        <is>
          <t>block</t>
        </is>
      </c>
      <c r="F49" s="23" t="inlineStr">
        <is>
          <t>null</t>
        </is>
      </c>
    </row>
    <row r="50">
      <c r="A50" s="21" t="inlineStr">
        <is>
          <t>ALU-006-S001</t>
        </is>
      </c>
      <c r="B50" s="21" t="inlineStr">
        <is>
          <t>ALU-006</t>
        </is>
      </c>
      <c r="C50" s="22" t="n">
        <v>900</v>
      </c>
      <c r="D50" s="22" t="n">
        <v>2100</v>
      </c>
      <c r="E50" s="21" t="inlineStr">
        <is>
          <t>block</t>
        </is>
      </c>
      <c r="F50" s="21" t="inlineStr">
        <is>
          <t>null</t>
        </is>
      </c>
    </row>
    <row r="51">
      <c r="A51" s="23" t="inlineStr">
        <is>
          <t>ALU-007-S001</t>
        </is>
      </c>
      <c r="B51" s="23" t="inlineStr">
        <is>
          <t>ALU-007</t>
        </is>
      </c>
      <c r="C51" s="24" t="n">
        <v>900</v>
      </c>
      <c r="D51" s="24" t="n">
        <v>2100</v>
      </c>
      <c r="E51" s="23" t="inlineStr">
        <is>
          <t>block</t>
        </is>
      </c>
      <c r="F51" s="23" t="inlineStr">
        <is>
          <t>null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4.44000053405762" customWidth="1" min="1" max="1"/>
    <col width="24.44000053405762" customWidth="1" min="2" max="2"/>
    <col width="14.4399995803833" customWidth="1" min="3" max="3"/>
    <col width="14.4399995803833" customWidth="1" min="4" max="4"/>
    <col width="13.89000034332275" customWidth="1" min="5" max="5"/>
    <col width="16.67000007629395" customWidth="1" min="6" max="6"/>
    <col width="14.4399995803833" customWidth="1" min="7" max="7"/>
    <col width="17.21999931335449" customWidth="1" min="8" max="8"/>
    <col width="16.11000061035156" customWidth="1" min="9" max="9"/>
    <col width="8.890000343322754" customWidth="1" min="10" max="10"/>
    <col width="17.78000068664551" customWidth="1" min="11" max="11"/>
    <col width="54.43999862670898" customWidth="1" min="12" max="12"/>
  </cols>
  <sheetData>
    <row r="1">
      <c r="A1" s="13" t="n"/>
      <c r="B1" s="13" t="n"/>
      <c r="C1" s="13" t="n"/>
    </row>
    <row r="2">
      <c r="A2" s="14" t="inlineStr">
        <is>
          <t>Нестандартные размеры. Правило расчёта</t>
        </is>
      </c>
    </row>
    <row r="3">
      <c r="A3" s="18" t="inlineStr">
        <is>
          <t>Надбавка применяется только к базе изделия. Каждая нестандартная строка подлежит уточнению на производстве.</t>
        </is>
      </c>
    </row>
    <row r="4">
      <c r="A4" s="15" t="n"/>
      <c r="B4" s="15" t="n"/>
      <c r="C4" s="15" t="n"/>
    </row>
    <row r="5">
      <c r="A5" s="16" t="inlineStr">
        <is>
          <t>Параметр</t>
        </is>
      </c>
      <c r="B5" s="16" t="inlineStr">
        <is>
          <t>Значение</t>
        </is>
      </c>
      <c r="C5" s="16" t="inlineStr">
        <is>
          <t>Правило</t>
        </is>
      </c>
    </row>
    <row r="6">
      <c r="A6" s="17" t="inlineStr">
        <is>
          <t>large_threshold_percent</t>
        </is>
      </c>
      <c r="B6" s="25" t="n">
        <v>30</v>
      </c>
      <c r="C6" s="17" t="inlineStr">
        <is>
          <t>Строгое превышение хотя бы одного измерения переводит в тариф +100%.</t>
        </is>
      </c>
    </row>
    <row r="7">
      <c r="A7" s="18" t="inlineStr">
        <is>
          <t>regular_surcharge_percent</t>
        </is>
      </c>
      <c r="B7" s="25" t="n">
        <v>30</v>
      </c>
      <c r="C7" s="18" t="inlineStr">
        <is>
          <t>Любое отличие от стандарта в пределах порога, включая уменьшение.</t>
        </is>
      </c>
    </row>
    <row r="8">
      <c r="A8" s="17" t="inlineStr">
        <is>
          <t>large_surcharge_percent</t>
        </is>
      </c>
      <c r="B8" s="25" t="n">
        <v>100</v>
      </c>
      <c r="C8" s="17" t="inlineStr">
        <is>
          <t>Надбавка вместо 30%, один раз к базе изделия.</t>
        </is>
      </c>
    </row>
    <row r="9">
      <c r="A9" s="18" t="inlineStr">
        <is>
          <t>applies_to</t>
        </is>
      </c>
      <c r="B9" s="18" t="inlineStr">
        <is>
          <t>base</t>
        </is>
      </c>
      <c r="C9" s="18" t="inlineStr">
        <is>
          <t>Отдельные компоненты сохраняют обычные цены.</t>
        </is>
      </c>
    </row>
    <row r="10">
      <c r="A10" s="17" t="inlineStr">
        <is>
          <t>production_note</t>
        </is>
      </c>
      <c r="B10" s="17" t="inlineStr">
        <is>
          <t>Нестандартные позиции подлежат уточнению на производстве.</t>
        </is>
      </c>
    </row>
    <row r="11"/>
    <row r="12"/>
    <row r="13">
      <c r="A13" s="26" t="inlineStr">
        <is>
          <t>Примеры после выбора подходящего стандарта той же модели</t>
        </is>
      </c>
    </row>
    <row r="14"/>
    <row r="15">
      <c r="A15" s="27" t="inlineStr">
        <is>
          <t>Ш заказ</t>
        </is>
      </c>
      <c r="B15" s="27" t="inlineStr">
        <is>
          <t>В заказ</t>
        </is>
      </c>
      <c r="C15" s="27" t="inlineStr">
        <is>
          <t>Ш стандарт</t>
        </is>
      </c>
      <c r="D15" s="27" t="inlineStr">
        <is>
          <t>В стандарт</t>
        </is>
      </c>
      <c r="E15" s="27" t="inlineStr">
        <is>
          <t>База, руб.</t>
        </is>
      </c>
      <c r="F15" s="27" t="inlineStr">
        <is>
          <t>Компоненты, руб.</t>
        </is>
      </c>
      <c r="G15" s="27" t="inlineStr">
        <is>
          <t>Надбавка, %</t>
        </is>
      </c>
      <c r="H15" s="27" t="inlineStr">
        <is>
          <t>База с надбавкой</t>
        </is>
      </c>
      <c r="I15" s="27" t="inlineStr">
        <is>
          <t>За единицу</t>
        </is>
      </c>
      <c r="J15" s="27" t="inlineStr">
        <is>
          <t>Кол-во</t>
        </is>
      </c>
      <c r="K15" s="27" t="inlineStr">
        <is>
          <t>Сумма, руб.</t>
        </is>
      </c>
      <c r="L15" s="27" t="inlineStr">
        <is>
          <t>Примечание</t>
        </is>
      </c>
    </row>
    <row r="16">
      <c r="A16" s="18" t="n">
        <v>900</v>
      </c>
      <c r="B16" s="18" t="n">
        <v>2000</v>
      </c>
      <c r="C16" s="18" t="n">
        <v>900</v>
      </c>
      <c r="D16" s="18" t="n">
        <v>2000</v>
      </c>
      <c r="E16" s="28" t="n">
        <v>6500</v>
      </c>
      <c r="F16" s="28" t="n">
        <v>3280</v>
      </c>
      <c r="G16" s="18">
        <f>IF(AND(A16=C16,B16=D16),0,IF(OR(A16*100&gt;C16*(100+$B$6),B16*100&gt;D16*(100+$B$6)),$B$8,$B$7))</f>
        <v/>
      </c>
      <c r="H16" s="28">
        <f>ROUND(E16*(1+G16/100),2)</f>
        <v/>
      </c>
      <c r="I16" s="28">
        <f>SUM(H16,F16)</f>
        <v/>
      </c>
      <c r="J16" s="18" t="n">
        <v>2</v>
      </c>
      <c r="K16" s="28">
        <f>I16*J16</f>
        <v/>
      </c>
      <c r="L16" s="18">
        <f>IF(G16=0,"Стандарт","Нестандартные позиции подлежат уточнению на производстве.")</f>
        <v/>
      </c>
    </row>
    <row r="17">
      <c r="A17" s="18" t="n">
        <v>899</v>
      </c>
      <c r="B17" s="18" t="n">
        <v>2000</v>
      </c>
      <c r="C17" s="18" t="n">
        <v>900</v>
      </c>
      <c r="D17" s="18" t="n">
        <v>2000</v>
      </c>
      <c r="E17" s="28" t="n">
        <v>6500</v>
      </c>
      <c r="F17" s="28" t="n">
        <v>3280</v>
      </c>
      <c r="G17" s="18">
        <f>IF(AND(A17=C17,B17=D17),0,IF(OR(A17*100&gt;C17*(100+$B$6),B17*100&gt;D17*(100+$B$6)),$B$8,$B$7))</f>
        <v/>
      </c>
      <c r="H17" s="28">
        <f>ROUND(E17*(1+G17/100),2)</f>
        <v/>
      </c>
      <c r="I17" s="28">
        <f>SUM(H17,F17)</f>
        <v/>
      </c>
      <c r="J17" s="18" t="n">
        <v>2</v>
      </c>
      <c r="K17" s="28">
        <f>I17*J17</f>
        <v/>
      </c>
      <c r="L17" s="18">
        <f>IF(G17=0,"Стандарт","Нестандартные позиции подлежат уточнению на производстве.")</f>
        <v/>
      </c>
    </row>
    <row r="18">
      <c r="A18" s="18" t="n">
        <v>1000</v>
      </c>
      <c r="B18" s="18" t="n">
        <v>2200</v>
      </c>
      <c r="C18" s="18" t="n">
        <v>900</v>
      </c>
      <c r="D18" s="18" t="n">
        <v>2000</v>
      </c>
      <c r="E18" s="28" t="n">
        <v>6500</v>
      </c>
      <c r="F18" s="28" t="n">
        <v>3280</v>
      </c>
      <c r="G18" s="18">
        <f>IF(AND(A18=C18,B18=D18),0,IF(OR(A18*100&gt;C18*(100+$B$6),B18*100&gt;D18*(100+$B$6)),$B$8,$B$7))</f>
        <v/>
      </c>
      <c r="H18" s="28">
        <f>ROUND(E18*(1+G18/100),2)</f>
        <v/>
      </c>
      <c r="I18" s="28">
        <f>SUM(H18,F18)</f>
        <v/>
      </c>
      <c r="J18" s="18" t="n">
        <v>2</v>
      </c>
      <c r="K18" s="28">
        <f>I18*J18</f>
        <v/>
      </c>
      <c r="L18" s="18">
        <f>IF(G18=0,"Стандарт","Нестандартные позиции подлежат уточнению на производстве.")</f>
        <v/>
      </c>
    </row>
    <row r="19">
      <c r="A19" s="18" t="n">
        <v>1170</v>
      </c>
      <c r="B19" s="18" t="n">
        <v>2600</v>
      </c>
      <c r="C19" s="18" t="n">
        <v>900</v>
      </c>
      <c r="D19" s="18" t="n">
        <v>2000</v>
      </c>
      <c r="E19" s="28" t="n">
        <v>6500</v>
      </c>
      <c r="F19" s="28" t="n">
        <v>3280</v>
      </c>
      <c r="G19" s="18">
        <f>IF(AND(A19=C19,B19=D19),0,IF(OR(A19*100&gt;C19*(100+$B$6),B19*100&gt;D19*(100+$B$6)),$B$8,$B$7))</f>
        <v/>
      </c>
      <c r="H19" s="28">
        <f>ROUND(E19*(1+G19/100),2)</f>
        <v/>
      </c>
      <c r="I19" s="28">
        <f>SUM(H19,F19)</f>
        <v/>
      </c>
      <c r="J19" s="18" t="n">
        <v>2</v>
      </c>
      <c r="K19" s="28">
        <f>I19*J19</f>
        <v/>
      </c>
      <c r="L19" s="18">
        <f>IF(G19=0,"Стандарт","Нестандартные позиции подлежат уточнению на производстве.")</f>
        <v/>
      </c>
    </row>
    <row r="20">
      <c r="A20" s="18" t="n">
        <v>1171</v>
      </c>
      <c r="B20" s="18" t="n">
        <v>2000</v>
      </c>
      <c r="C20" s="18" t="n">
        <v>900</v>
      </c>
      <c r="D20" s="18" t="n">
        <v>2000</v>
      </c>
      <c r="E20" s="28" t="n">
        <v>6500</v>
      </c>
      <c r="F20" s="28" t="n">
        <v>3280</v>
      </c>
      <c r="G20" s="18">
        <f>IF(AND(A20=C20,B20=D20),0,IF(OR(A20*100&gt;C20*(100+$B$6),B20*100&gt;D20*(100+$B$6)),$B$8,$B$7))</f>
        <v/>
      </c>
      <c r="H20" s="28">
        <f>ROUND(E20*(1+G20/100),2)</f>
        <v/>
      </c>
      <c r="I20" s="28">
        <f>SUM(H20,F20)</f>
        <v/>
      </c>
      <c r="J20" s="18" t="n">
        <v>2</v>
      </c>
      <c r="K20" s="28">
        <f>I20*J20</f>
        <v/>
      </c>
      <c r="L20" s="18">
        <f>IF(G20=0,"Стандарт","Нестандартные позиции подлежат уточнению на производстве.")</f>
        <v/>
      </c>
    </row>
    <row r="21">
      <c r="A21" s="18" t="n">
        <v>900</v>
      </c>
      <c r="B21" s="18" t="n">
        <v>2601</v>
      </c>
      <c r="C21" s="18" t="n">
        <v>900</v>
      </c>
      <c r="D21" s="18" t="n">
        <v>2000</v>
      </c>
      <c r="E21" s="28" t="n">
        <v>6500</v>
      </c>
      <c r="F21" s="28" t="n">
        <v>3280</v>
      </c>
      <c r="G21" s="18">
        <f>IF(AND(A21=C21,B21=D21),0,IF(OR(A21*100&gt;C21*(100+$B$6),B21*100&gt;D21*(100+$B$6)),$B$8,$B$7))</f>
        <v/>
      </c>
      <c r="H21" s="28">
        <f>ROUND(E21*(1+G21/100),2)</f>
        <v/>
      </c>
      <c r="I21" s="28">
        <f>SUM(H21,F21)</f>
        <v/>
      </c>
      <c r="J21" s="18" t="n">
        <v>2</v>
      </c>
      <c r="K21" s="28">
        <f>I21*J21</f>
        <v/>
      </c>
      <c r="L21" s="18">
        <f>IF(G21=0,"Стандарт","Нестандартные позиции подлежат уточнению на производстве.")</f>
        <v/>
      </c>
    </row>
  </sheetData>
  <mergeCells count="8">
    <mergeCell ref="C5:L5"/>
    <mergeCell ref="A2:L2"/>
    <mergeCell ref="C8:L8"/>
    <mergeCell ref="C9:L9"/>
    <mergeCell ref="C7:L7"/>
    <mergeCell ref="B10:L10"/>
    <mergeCell ref="C6:L6"/>
    <mergeCell ref="A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cols>
    <col width="33.33000183105469" customWidth="1" min="1" max="1"/>
    <col width="58.88999938964844" customWidth="1" min="2" max="2"/>
    <col width="40" customWidth="1" min="3" max="3"/>
    <col width="94.44000244140625" customWidth="1" min="4" max="4"/>
  </cols>
  <sheetData>
    <row r="1">
      <c r="A1" s="13" t="n"/>
      <c r="B1" s="13" t="n"/>
      <c r="C1" s="13" t="n"/>
      <c r="D1" s="13" t="n"/>
    </row>
    <row r="2">
      <c r="A2" s="14" t="inlineStr">
        <is>
          <t>Слова и сокращения</t>
        </is>
      </c>
      <c r="B2" s="13" t="n"/>
      <c r="C2" s="13" t="n"/>
      <c r="D2" s="13" t="n"/>
    </row>
    <row r="3">
      <c r="A3" s="13" t="inlineStr">
        <is>
          <t>Контекст определяет значение сокращения. Правило нестандарта из листа Нестандарт имеет приоритет.</t>
        </is>
      </c>
      <c r="B3" s="13" t="n"/>
      <c r="C3" s="13" t="n"/>
      <c r="D3" s="13" t="n"/>
    </row>
    <row r="4">
      <c r="A4" s="15" t="n"/>
      <c r="B4" s="15" t="n"/>
      <c r="C4" s="15" t="n"/>
      <c r="D4" s="15" t="n"/>
    </row>
    <row r="5">
      <c r="A5" s="16" t="inlineStr">
        <is>
          <t>Слово / код</t>
        </is>
      </c>
      <c r="B5" s="16" t="inlineStr">
        <is>
          <t>Значение</t>
        </is>
      </c>
      <c r="C5" s="16" t="inlineStr">
        <is>
          <t>Контекст</t>
        </is>
      </c>
      <c r="D5" s="16" t="inlineStr">
        <is>
          <t>Правило агента</t>
        </is>
      </c>
    </row>
    <row r="6">
      <c r="A6" s="17" t="inlineStr">
        <is>
          <t>дверь</t>
        </is>
      </c>
      <c r="B6" s="17" t="inlineStr">
        <is>
          <t>Изделие без определённой комплектации</t>
        </is>
      </c>
      <c r="C6" s="17" t="inlineStr">
        <is>
          <t>Комплектация</t>
        </is>
      </c>
      <c r="D6" s="17" t="inlineStr">
        <is>
          <t>Уточнить состав, единицу тарифа и количество деталей. Не считать по одному общему слову.</t>
        </is>
      </c>
    </row>
    <row r="7">
      <c r="A7" s="18" t="inlineStr">
        <is>
          <t>дверной блок / ДБ / БД</t>
        </is>
      </c>
      <c r="B7" s="18" t="inlineStr">
        <is>
          <t>Полотно или полотна с коробкой как сборочная единица</t>
        </is>
      </c>
      <c r="C7" s="18" t="inlineStr">
        <is>
          <t>Комплектация</t>
        </is>
      </c>
      <c r="D7" s="18" t="inlineStr">
        <is>
          <t>Уточнить состав, единицу тарифа и количество деталей. Не считать по одному общему слову.</t>
        </is>
      </c>
    </row>
    <row r="8">
      <c r="A8" s="17" t="inlineStr">
        <is>
          <t>полотно / створка</t>
        </is>
      </c>
      <c r="B8" s="17" t="inlineStr">
        <is>
          <t>Подвижная часть двери</t>
        </is>
      </c>
      <c r="C8" s="17" t="inlineStr">
        <is>
          <t>Комплектация</t>
        </is>
      </c>
      <c r="D8" s="17" t="inlineStr">
        <is>
          <t>Уточнить состав, единицу тарифа и количество деталей. Не считать по одному общему слову.</t>
        </is>
      </c>
    </row>
    <row r="9">
      <c r="A9" s="18" t="inlineStr">
        <is>
          <t>комплект / под ключ</t>
        </is>
      </c>
      <c r="B9" s="18" t="inlineStr">
        <is>
          <t>Неопределённый набор поставки и услуг</t>
        </is>
      </c>
      <c r="C9" s="18" t="inlineStr">
        <is>
          <t>Комплектация</t>
        </is>
      </c>
      <c r="D9" s="18" t="inlineStr">
        <is>
          <t>Уточнить состав, единицу тарифа и количество деталей. Не считать по одному общему слову.</t>
        </is>
      </c>
    </row>
    <row r="10">
      <c r="A10" s="17" t="inlineStr">
        <is>
          <t>погонаж</t>
        </is>
      </c>
      <c r="B10" s="17" t="inlineStr">
        <is>
          <t>Коробка, наличники, доборы и другие профильные детали</t>
        </is>
      </c>
      <c r="C10" s="17" t="inlineStr">
        <is>
          <t>Комплектация</t>
        </is>
      </c>
      <c r="D10" s="17" t="inlineStr">
        <is>
          <t>Уточнить состав, единицу тарифа и количество деталей. Не считать по одному общему слову.</t>
        </is>
      </c>
    </row>
    <row r="11">
      <c r="A11" s="18" t="inlineStr">
        <is>
          <t>короб / коробка / рама</t>
        </is>
      </c>
      <c r="B11" s="18" t="inlineStr">
        <is>
          <t>Неподвижная часть блока</t>
        </is>
      </c>
      <c r="C11" s="18" t="inlineStr">
        <is>
          <t>Комплектация</t>
        </is>
      </c>
      <c r="D11" s="18" t="inlineStr">
        <is>
          <t>Уточнить состав, единицу тарифа и количество деталей. Не считать по одному общему слову.</t>
        </is>
      </c>
    </row>
    <row r="12">
      <c r="A12" s="17" t="inlineStr">
        <is>
          <t>наличник / обналичка</t>
        </is>
      </c>
      <c r="B12" s="17" t="inlineStr">
        <is>
          <t>Отделка примыкания коробки к стене</t>
        </is>
      </c>
      <c r="C12" s="17" t="inlineStr">
        <is>
          <t>Комплектация</t>
        </is>
      </c>
      <c r="D12" s="17" t="inlineStr">
        <is>
          <t>Уточнить состав, единицу тарифа и количество деталей. Не считать по одному общему слову.</t>
        </is>
      </c>
    </row>
    <row r="13">
      <c r="A13" s="18" t="inlineStr">
        <is>
          <t>добор / расширитель</t>
        </is>
      </c>
      <c r="B13" s="18" t="inlineStr">
        <is>
          <t>Элемент расширения коробки по толщине стены</t>
        </is>
      </c>
      <c r="C13" s="18" t="inlineStr">
        <is>
          <t>Комплектация</t>
        </is>
      </c>
      <c r="D13" s="18" t="inlineStr">
        <is>
          <t>Уточнить состав, единицу тарифа и количество деталей. Не считать по одному общему слову.</t>
        </is>
      </c>
    </row>
    <row r="14">
      <c r="A14" s="17" t="inlineStr">
        <is>
          <t>притвор / нащельник</t>
        </is>
      </c>
      <c r="B14" s="17" t="inlineStr">
        <is>
          <t>Деталь перекрытия стыка или зазора</t>
        </is>
      </c>
      <c r="C14" s="17" t="inlineStr">
        <is>
          <t>Комплектация</t>
        </is>
      </c>
      <c r="D14" s="17" t="inlineStr">
        <is>
          <t>Уточнить состав, единицу тарифа и количество деталей. Не считать по одному общему слову.</t>
        </is>
      </c>
    </row>
    <row r="15">
      <c r="A15" s="18" t="inlineStr">
        <is>
          <t>четверть / фальц / наплав</t>
        </is>
      </c>
      <c r="B15" s="18" t="inlineStr">
        <is>
          <t>Конструктивный профиль притвора</t>
        </is>
      </c>
      <c r="C15" s="18" t="inlineStr">
        <is>
          <t>Комплектация</t>
        </is>
      </c>
      <c r="D15" s="18" t="inlineStr">
        <is>
          <t>Уточнить состав, единицу тарифа и количество деталей. Не считать по одному общему слову.</t>
        </is>
      </c>
    </row>
    <row r="16">
      <c r="A16" s="17" t="inlineStr">
        <is>
          <t>ПГ</t>
        </is>
      </c>
      <c r="B16" s="17" t="inlineStr">
        <is>
          <t>Полотно глухое</t>
        </is>
      </c>
      <c r="C16" s="17" t="inlineStr">
        <is>
          <t>Каталог/сокращение поставщика</t>
        </is>
      </c>
      <c r="D16" s="17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17">
      <c r="A17" s="18" t="inlineStr">
        <is>
          <t>ПО</t>
        </is>
      </c>
      <c r="B17" s="18" t="inlineStr">
        <is>
          <t>Полотно остеклённое</t>
        </is>
      </c>
      <c r="C17" s="18" t="inlineStr">
        <is>
          <t>Каталог/сокращение поставщика</t>
        </is>
      </c>
      <c r="D17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18">
      <c r="A18" s="17" t="inlineStr">
        <is>
          <t>ДГ</t>
        </is>
      </c>
      <c r="B18" s="17" t="inlineStr">
        <is>
          <t>Дверь глухая</t>
        </is>
      </c>
      <c r="C18" s="17" t="inlineStr">
        <is>
          <t>Каталог/сокращение поставщика</t>
        </is>
      </c>
      <c r="D18" s="17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19">
      <c r="A19" s="18" t="inlineStr">
        <is>
          <t>ДО</t>
        </is>
      </c>
      <c r="B19" s="18" t="inlineStr">
        <is>
          <t>Дверь остеклённая</t>
        </is>
      </c>
      <c r="C19" s="18" t="inlineStr">
        <is>
          <t>Каталог/сокращение поставщика</t>
        </is>
      </c>
      <c r="D19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0">
      <c r="A20" s="17" t="inlineStr">
        <is>
          <t>ДПГ</t>
        </is>
      </c>
      <c r="B20" s="17" t="inlineStr">
        <is>
          <t>Название глухого полотна или серии в прайсе</t>
        </is>
      </c>
      <c r="C20" s="17" t="inlineStr">
        <is>
          <t>Каталог/сокращение поставщика</t>
        </is>
      </c>
      <c r="D20" s="17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1">
      <c r="A21" s="18" t="inlineStr">
        <is>
          <t>ДПО</t>
        </is>
      </c>
      <c r="B21" s="18" t="inlineStr">
        <is>
          <t>Название остеклённого полотна или серии в прайсе</t>
        </is>
      </c>
      <c r="C21" s="18" t="inlineStr">
        <is>
          <t>Каталог/сокращение поставщика</t>
        </is>
      </c>
      <c r="D21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2">
      <c r="A22" s="17" t="inlineStr">
        <is>
          <t>ДПГ-0 / Модель-0</t>
        </is>
      </c>
      <c r="B22" s="17" t="inlineStr">
        <is>
          <t>Конкретные названия звукоизоляционных серий</t>
        </is>
      </c>
      <c r="C22" s="17" t="inlineStr">
        <is>
          <t>Каталог/сокращение поставщика</t>
        </is>
      </c>
      <c r="D22" s="17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3">
      <c r="A23" s="18" t="inlineStr">
        <is>
          <t>ПШГ</t>
        </is>
      </c>
      <c r="B23" s="18" t="inlineStr">
        <is>
          <t>Название шумоизоляционной серии, цены в этих файлах нет</t>
        </is>
      </c>
      <c r="C23" s="18" t="inlineStr">
        <is>
          <t>Каталог/сокращение поставщика</t>
        </is>
      </c>
      <c r="D23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4">
      <c r="A24" s="17" t="inlineStr">
        <is>
          <t>ДДП / ДДПО</t>
        </is>
      </c>
      <c r="B24" s="17" t="inlineStr">
        <is>
          <t>Названия противопожарных деревянных серий в прайсе</t>
        </is>
      </c>
      <c r="C24" s="17" t="inlineStr">
        <is>
          <t>Каталог/сокращение поставщика</t>
        </is>
      </c>
      <c r="D24" s="17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5">
      <c r="A25" s="18" t="inlineStr">
        <is>
          <t>ДМ-1 / ДМО-1</t>
        </is>
      </c>
      <c r="B25" s="18" t="inlineStr">
        <is>
          <t>Названия металлических моделей сайта</t>
        </is>
      </c>
      <c r="C25" s="18" t="inlineStr">
        <is>
          <t>Каталог/сокращение поставщика</t>
        </is>
      </c>
      <c r="D25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6">
      <c r="A26" s="17" t="inlineStr">
        <is>
          <t>ДМП / ДПМ / ДПД / ДПМО</t>
        </is>
      </c>
      <c r="B26" s="17" t="inlineStr">
        <is>
          <t>Поставщицкие сокращения противопожарных дверей</t>
        </is>
      </c>
      <c r="C26" s="17" t="inlineStr">
        <is>
          <t>Каталог/сокращение поставщика</t>
        </is>
      </c>
      <c r="D26" s="17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7">
      <c r="A27" s="18" t="inlineStr">
        <is>
          <t>Т-01 / Л-21 / NK / SMK</t>
        </is>
      </c>
      <c r="B27" s="18" t="inlineStr">
        <is>
          <t>Индексы моделей или серий</t>
        </is>
      </c>
      <c r="C27" s="18" t="inlineStr">
        <is>
          <t>Каталог/сокращение поставщика</t>
        </is>
      </c>
      <c r="D27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8">
      <c r="A28" s="17" t="inlineStr">
        <is>
          <t>ДН</t>
        </is>
      </c>
      <c r="B28" s="17" t="inlineStr">
        <is>
          <t>Наружная входная дверь</t>
        </is>
      </c>
      <c r="C28" s="17" t="inlineStr">
        <is>
          <t>ГОСТ 475: читать вместе с редакцией</t>
        </is>
      </c>
      <c r="D28" s="17" t="inlineStr">
        <is>
          <t>Не переносить значение буквы в другую систему маркировки.</t>
        </is>
      </c>
    </row>
    <row r="29">
      <c r="A29" s="18" t="inlineStr">
        <is>
          <t>ДМ</t>
        </is>
      </c>
      <c r="B29" s="18" t="inlineStr">
        <is>
          <t>Межкомнатная или внутренняя дверь в контексте деревянного блока</t>
        </is>
      </c>
      <c r="C29" s="18" t="inlineStr">
        <is>
          <t>ГОСТ 475: читать вместе с редакцией</t>
        </is>
      </c>
      <c r="D29" s="18" t="inlineStr">
        <is>
          <t>Не переносить значение буквы в другую систему маркировки.</t>
        </is>
      </c>
    </row>
    <row r="30">
      <c r="A30" s="17" t="inlineStr">
        <is>
          <t>ДС</t>
        </is>
      </c>
      <c r="B30" s="17" t="inlineStr">
        <is>
          <t>Дверь санузла</t>
        </is>
      </c>
      <c r="C30" s="17" t="inlineStr">
        <is>
          <t>ГОСТ 475: читать вместе с редакцией</t>
        </is>
      </c>
      <c r="D30" s="17" t="inlineStr">
        <is>
          <t>Не переносить значение буквы в другую систему маркировки.</t>
        </is>
      </c>
    </row>
    <row r="31">
      <c r="A31" s="18" t="inlineStr">
        <is>
          <t>Рп / Рл</t>
        </is>
      </c>
      <c r="B31" s="18" t="inlineStr">
        <is>
          <t>Распашное правое / левое открывание</t>
        </is>
      </c>
      <c r="C31" s="18" t="inlineStr">
        <is>
          <t>ГОСТ 475: читать вместе с редакцией</t>
        </is>
      </c>
      <c r="D31" s="18" t="inlineStr">
        <is>
          <t>Не переносить значение буквы в другую систему маркировки.</t>
        </is>
      </c>
    </row>
    <row r="32">
      <c r="A32" s="17" t="inlineStr">
        <is>
          <t>К / Р / Р2 / С</t>
        </is>
      </c>
      <c r="B32" s="17" t="inlineStr">
        <is>
          <t>Качающаяся / раздвижная / двупольная раздвижная / складная</t>
        </is>
      </c>
      <c r="C32" s="17" t="inlineStr">
        <is>
          <t>ГОСТ 475: читать вместе с редакцией</t>
        </is>
      </c>
      <c r="D32" s="17" t="inlineStr">
        <is>
          <t>Не переносить значение буквы в другую систему маркировки.</t>
        </is>
      </c>
    </row>
    <row r="33">
      <c r="A33" s="18" t="inlineStr">
        <is>
          <t>Пр / По</t>
        </is>
      </c>
      <c r="B33" s="18" t="inlineStr">
        <is>
          <t>Порог / опускающийся порог</t>
        </is>
      </c>
      <c r="C33" s="18" t="inlineStr">
        <is>
          <t>ГОСТ 475: читать вместе с редакцией</t>
        </is>
      </c>
      <c r="D33" s="18" t="inlineStr">
        <is>
          <t>Не переносить значение буквы в другую систему маркировки.</t>
        </is>
      </c>
    </row>
    <row r="34">
      <c r="A34" s="17" t="inlineStr">
        <is>
          <t>Г / О</t>
        </is>
      </c>
      <c r="B34" s="17" t="inlineStr">
        <is>
          <t>Глухое заполнение / остекление</t>
        </is>
      </c>
      <c r="C34" s="17" t="inlineStr">
        <is>
          <t>ГОСТ 475: читать вместе с редакцией</t>
        </is>
      </c>
      <c r="D34" s="17" t="inlineStr">
        <is>
          <t>Не переносить значение буквы в другую систему маркировки.</t>
        </is>
      </c>
    </row>
    <row r="35">
      <c r="A35" s="18" t="inlineStr">
        <is>
          <t>ДВ</t>
        </is>
      </c>
      <c r="B35" s="18" t="inlineStr">
        <is>
          <t>В 2016: внутренняя входная в квартиры и помещения; в 2026: входная в квартиру с лестничной клетки</t>
        </is>
      </c>
      <c r="C35" s="18" t="inlineStr">
        <is>
          <t>Различие редакций 475</t>
        </is>
      </c>
      <c r="D35" s="18" t="inlineStr">
        <is>
          <t>Определить год ГОСТа и назначение. Не подставлять металлическую ДМ-1.</t>
        </is>
      </c>
    </row>
    <row r="36">
      <c r="A36" s="17" t="inlineStr">
        <is>
          <t>ПрБ</t>
        </is>
      </c>
      <c r="B36" s="17" t="inlineStr">
        <is>
          <t>Без порога в маркировке 475-2016</t>
        </is>
      </c>
      <c r="C36" s="17" t="inlineStr">
        <is>
          <t>Историческая редакция 2016</t>
        </is>
      </c>
      <c r="D36" s="17" t="inlineStr">
        <is>
          <t>Не дописывать это сокращение в новую марку 475-2026 как будто формат неизменен.</t>
        </is>
      </c>
    </row>
    <row r="37">
      <c r="A37" s="18" t="inlineStr">
        <is>
          <t>Р1п / Р1л / Р2п / Р2л</t>
        </is>
      </c>
      <c r="B37" s="18" t="inlineStr">
        <is>
          <t>Одно- или двупольная распашная дверь с направлением</t>
        </is>
      </c>
      <c r="C37" s="18" t="inlineStr">
        <is>
          <t>ГОСТ 475-2026</t>
        </is>
      </c>
      <c r="D37" s="18" t="inlineStr">
        <is>
          <t>Сохранять редакцию и исходное написание.</t>
        </is>
      </c>
    </row>
    <row r="38">
      <c r="A38" s="17" t="inlineStr">
        <is>
          <t>Ч</t>
        </is>
      </c>
      <c r="B38" s="17" t="inlineStr">
        <is>
          <t>Частичное остекление</t>
        </is>
      </c>
      <c r="C38" s="17" t="inlineStr">
        <is>
          <t>ГОСТ 475-2026</t>
        </is>
      </c>
      <c r="D38" s="17" t="inlineStr">
        <is>
          <t>Не приравнивать к любому предложенному остеклению без исполнения.</t>
        </is>
      </c>
    </row>
    <row r="39">
      <c r="A39" s="18" t="inlineStr">
        <is>
          <t>Мд1–Мд4 / М1–М4</t>
        </is>
      </c>
      <c r="B39" s="18" t="inlineStr">
        <is>
          <t>Классы прочности в разных редакциях деревянных дверей</t>
        </is>
      </c>
      <c r="C39" s="18" t="inlineStr">
        <is>
          <t>Редакция обязательна</t>
        </is>
      </c>
      <c r="D39" s="18" t="inlineStr">
        <is>
          <t>Не стирать букву д при нормализации и не присваивать классы по материалу.</t>
        </is>
      </c>
    </row>
    <row r="40">
      <c r="A40" s="17" t="inlineStr">
        <is>
          <t>21-9 / 21×9</t>
        </is>
      </c>
      <c r="B40" s="17" t="inlineStr">
        <is>
          <t>Исторический размер проёма: высота 21 дм и ширина 9 дм</t>
        </is>
      </c>
      <c r="C40" s="17" t="inlineStr">
        <is>
          <t>ГОСТ 6629-88 или 475-2016</t>
        </is>
      </c>
      <c r="D40" s="17" t="inlineStr">
        <is>
          <t>Нельзя автоматически превратить в полотно 2000×800.</t>
        </is>
      </c>
    </row>
    <row r="41">
      <c r="A41" s="18" t="inlineStr">
        <is>
          <t>2100×900 в новой марке</t>
        </is>
      </c>
      <c r="B41" s="18" t="inlineStr">
        <is>
          <t>Габариты изделия в миллиметрах</t>
        </is>
      </c>
      <c r="C41" s="18" t="inlineStr">
        <is>
          <t>ГОСТ 475-2026</t>
        </is>
      </c>
      <c r="D41" s="18" t="inlineStr">
        <is>
          <t>Не читать как старые дециметры и не путать с просветом.</t>
        </is>
      </c>
    </row>
    <row r="42">
      <c r="A42" s="17" t="inlineStr">
        <is>
          <t>ДСН</t>
        </is>
      </c>
      <c r="B42" s="17" t="inlineStr">
        <is>
          <t>Стальной наружный блок</t>
        </is>
      </c>
      <c r="C42" s="17" t="inlineStr">
        <is>
          <t>ГОСТ 31173-2016</t>
        </is>
      </c>
      <c r="D42" s="17" t="inlineStr">
        <is>
          <t>Читать только в контексте марки стального блока. Класс замка не равен классу двери.</t>
        </is>
      </c>
    </row>
    <row r="43">
      <c r="A43" s="18" t="inlineStr">
        <is>
          <t>ДСВх</t>
        </is>
      </c>
      <c r="B43" s="18" t="inlineStr">
        <is>
          <t>Стальной входной блок с лестничной клетки</t>
        </is>
      </c>
      <c r="C43" s="18" t="inlineStr">
        <is>
          <t>ГОСТ 31173-2016</t>
        </is>
      </c>
      <c r="D43" s="18" t="inlineStr">
        <is>
          <t>Читать только в контексте марки стального блока. Класс замка не равен классу двери.</t>
        </is>
      </c>
    </row>
    <row r="44">
      <c r="A44" s="17" t="inlineStr">
        <is>
          <t>ДСВ</t>
        </is>
      </c>
      <c r="B44" s="17" t="inlineStr">
        <is>
          <t>Стальной внутренний блок</t>
        </is>
      </c>
      <c r="C44" s="17" t="inlineStr">
        <is>
          <t>ГОСТ 31173-2016</t>
        </is>
      </c>
      <c r="D44" s="17" t="inlineStr">
        <is>
          <t>Читать только в контексте марки стального блока. Класс замка не равен классу двери.</t>
        </is>
      </c>
    </row>
    <row r="45">
      <c r="A45" s="18" t="inlineStr">
        <is>
          <t>ДСВв</t>
        </is>
      </c>
      <c r="B45" s="18" t="inlineStr">
        <is>
          <t>Стальной блок вспомогательных помещений</t>
        </is>
      </c>
      <c r="C45" s="18" t="inlineStr">
        <is>
          <t>ГОСТ 31173-2016</t>
        </is>
      </c>
      <c r="D45" s="18" t="inlineStr">
        <is>
          <t>Читать только в контексте марки стального блока. Класс замка не равен классу двери.</t>
        </is>
      </c>
    </row>
    <row r="46">
      <c r="A46" s="17" t="inlineStr">
        <is>
          <t>ДСУЗ</t>
        </is>
      </c>
      <c r="B46" s="17" t="inlineStr">
        <is>
          <t>Стальной блок с усиленной защитой</t>
        </is>
      </c>
      <c r="C46" s="17" t="inlineStr">
        <is>
          <t>ГОСТ 31173-2016</t>
        </is>
      </c>
      <c r="D46" s="17" t="inlineStr">
        <is>
          <t>Читать только в контексте марки стального блока. Класс замка не равен классу двери.</t>
        </is>
      </c>
    </row>
    <row r="47">
      <c r="A47" s="18" t="inlineStr">
        <is>
          <t>Оп / Дп</t>
        </is>
      </c>
      <c r="B47" s="18" t="inlineStr">
        <is>
          <t>Однопольный / двупольный</t>
        </is>
      </c>
      <c r="C47" s="18" t="inlineStr">
        <is>
          <t>ГОСТ 31173-2016</t>
        </is>
      </c>
      <c r="D47" s="18" t="inlineStr">
        <is>
          <t>Читать только в контексте марки стального блока. Класс замка не равен классу двери.</t>
        </is>
      </c>
    </row>
    <row r="48">
      <c r="A48" s="17" t="inlineStr">
        <is>
          <t>Прг / Брг</t>
        </is>
      </c>
      <c r="B48" s="17" t="inlineStr">
        <is>
          <t>С порогом / без порога</t>
        </is>
      </c>
      <c r="C48" s="17" t="inlineStr">
        <is>
          <t>ГОСТ 31173-2016</t>
        </is>
      </c>
      <c r="D48" s="17" t="inlineStr">
        <is>
          <t>Читать только в контексте марки стального блока. Класс замка не равен классу двери.</t>
        </is>
      </c>
    </row>
    <row r="49">
      <c r="A49" s="18" t="inlineStr">
        <is>
          <t>Л / Пр</t>
        </is>
      </c>
      <c r="B49" s="18" t="inlineStr">
        <is>
          <t>Левое / правое открывание</t>
        </is>
      </c>
      <c r="C49" s="18" t="inlineStr">
        <is>
          <t>ГОСТ 31173-2016</t>
        </is>
      </c>
      <c r="D49" s="18" t="inlineStr">
        <is>
          <t>Читать только в контексте марки стального блока. Класс замка не равен классу двери.</t>
        </is>
      </c>
    </row>
    <row r="50">
      <c r="A50" s="17" t="inlineStr">
        <is>
          <t>Вн / Н</t>
        </is>
      </c>
      <c r="B50" s="17" t="inlineStr">
        <is>
          <t>Открывание внутрь / наружу</t>
        </is>
      </c>
      <c r="C50" s="17" t="inlineStr">
        <is>
          <t>ГОСТ 31173-2016</t>
        </is>
      </c>
      <c r="D50" s="17" t="inlineStr">
        <is>
          <t>Читать только в контексте марки стального блока. Класс замка не равен классу двери.</t>
        </is>
      </c>
    </row>
    <row r="51">
      <c r="A51" s="18" t="inlineStr">
        <is>
          <t>П2лс</t>
        </is>
      </c>
      <c r="B51" s="18" t="inlineStr">
        <is>
          <t>Полотно из двух стальных листов</t>
        </is>
      </c>
      <c r="C51" s="18" t="inlineStr">
        <is>
          <t>ГОСТ 31173-2016</t>
        </is>
      </c>
      <c r="D51" s="18" t="inlineStr">
        <is>
          <t>Читать только в контексте марки стального блока. Класс замка не равен классу двери.</t>
        </is>
      </c>
    </row>
    <row r="52">
      <c r="A52" s="17" t="inlineStr">
        <is>
          <t>О</t>
        </is>
      </c>
      <c r="B52" s="17" t="inlineStr">
        <is>
          <t>Обычное исполнение, не обязательно остекление</t>
        </is>
      </c>
      <c r="C52" s="17" t="inlineStr">
        <is>
          <t>ГОСТ 31173-2016</t>
        </is>
      </c>
      <c r="D52" s="17" t="inlineStr">
        <is>
          <t>Читать только в контексте марки стального блока. Класс замка не равен классу двери.</t>
        </is>
      </c>
    </row>
    <row r="53">
      <c r="A53" s="18" t="inlineStr">
        <is>
          <t>М1–М5</t>
        </is>
      </c>
      <c r="B53" s="18" t="inlineStr">
        <is>
          <t>Классы механической прочности стального блока</t>
        </is>
      </c>
      <c r="C53" s="18" t="inlineStr">
        <is>
          <t>ГОСТ 31173-2016</t>
        </is>
      </c>
      <c r="D53" s="18" t="inlineStr">
        <is>
          <t>Читать только в контексте марки стального блока. Класс замка не равен классу двери.</t>
        </is>
      </c>
    </row>
    <row r="54">
      <c r="A54" s="17" t="inlineStr">
        <is>
          <t>ДПС / ДПСО</t>
        </is>
      </c>
      <c r="B54" s="17" t="inlineStr">
        <is>
          <t>Стальная противопожарная глухая / остеклённая дверь</t>
        </is>
      </c>
      <c r="C54" s="17" t="inlineStr">
        <is>
          <t>ГОСТ Р 57327-2016</t>
        </is>
      </c>
      <c r="D54" s="17" t="inlineStr">
        <is>
          <t>Использовать как признаки, а не как уникальную модель или цену.</t>
        </is>
      </c>
    </row>
    <row r="55">
      <c r="A55" s="18" t="inlineStr">
        <is>
          <t>01 / 02</t>
        </is>
      </c>
      <c r="B55" s="18" t="inlineStr">
        <is>
          <t>Однопольное / двупольное исполнение</t>
        </is>
      </c>
      <c r="C55" s="18" t="inlineStr">
        <is>
          <t>ГОСТ Р 57327-2016</t>
        </is>
      </c>
      <c r="D55" s="18" t="inlineStr">
        <is>
          <t>Использовать как признаки, а не как уникальную модель или цену.</t>
        </is>
      </c>
    </row>
    <row r="56">
      <c r="A56" s="17" t="inlineStr">
        <is>
          <t>E / Е</t>
        </is>
      </c>
      <c r="B56" s="17" t="inlineStr">
        <is>
          <t>Целостность при пожаре</t>
        </is>
      </c>
      <c r="C56" s="17" t="inlineStr">
        <is>
          <t>Огнестойкость</t>
        </is>
      </c>
      <c r="D56" s="17" t="inlineStr">
        <is>
          <t>E30 не равен EI30. EI60 не равен EIS60. Нужны документы на размер, стекло и фурнитуру исполнения.</t>
        </is>
      </c>
    </row>
    <row r="57">
      <c r="A57" s="18" t="inlineStr">
        <is>
          <t>I / EI</t>
        </is>
      </c>
      <c r="B57" s="18" t="inlineStr">
        <is>
          <t>Теплоизолирующая способность / сочетание E и I</t>
        </is>
      </c>
      <c r="C57" s="18" t="inlineStr">
        <is>
          <t>Огнестойкость</t>
        </is>
      </c>
      <c r="D57" s="18" t="inlineStr">
        <is>
          <t>E30 не равен EI30. EI60 не равен EIS60. Нужны документы на размер, стекло и фурнитуру исполнения.</t>
        </is>
      </c>
    </row>
    <row r="58">
      <c r="A58" s="17" t="inlineStr">
        <is>
          <t>S / EIS</t>
        </is>
      </c>
      <c r="B58" s="17" t="inlineStr">
        <is>
          <t>Дымогазонепроницаемость / сочетание E,I,S</t>
        </is>
      </c>
      <c r="C58" s="17" t="inlineStr">
        <is>
          <t>Огнестойкость</t>
        </is>
      </c>
      <c r="D58" s="17" t="inlineStr">
        <is>
          <t>E30 не равен EI30. EI60 не равен EIS60. Нужны документы на размер, стекло и фурнитуру исполнения.</t>
        </is>
      </c>
    </row>
    <row r="59">
      <c r="A59" s="18" t="inlineStr">
        <is>
          <t>EI30 / EI60 / EI90</t>
        </is>
      </c>
      <c r="B59" s="18" t="inlineStr">
        <is>
          <t>Огнестойкость по двум критериям в минутах</t>
        </is>
      </c>
      <c r="C59" s="18" t="inlineStr">
        <is>
          <t>Огнестойкость</t>
        </is>
      </c>
      <c r="D59" s="18" t="inlineStr">
        <is>
          <t>E30 не равен EI30. EI60 не равен EIS60. Нужны документы на размер, стекло и фурнитуру исполнения.</t>
        </is>
      </c>
    </row>
    <row r="60">
      <c r="A60" s="17" t="inlineStr">
        <is>
          <t>Е-30</t>
        </is>
      </c>
      <c r="B60" s="17" t="inlineStr">
        <is>
          <t>Возможное обозначение серии или только E30</t>
        </is>
      </c>
      <c r="C60" s="17" t="inlineStr">
        <is>
          <t>Огнестойкость</t>
        </is>
      </c>
      <c r="D60" s="17" t="inlineStr">
        <is>
          <t>E30 не равен EI30. EI60 не равен EIS60. Нужны документы на размер, стекло и фурнитуру исполнения.</t>
        </is>
      </c>
    </row>
    <row r="61">
      <c r="A61" s="18" t="inlineStr">
        <is>
          <t>EIW / EIW60</t>
        </is>
      </c>
      <c r="B61" s="18" t="inlineStr">
        <is>
          <t>Дополнительный критерий теплового излучения</t>
        </is>
      </c>
      <c r="C61" s="18" t="inlineStr">
        <is>
          <t>Огнестойкость</t>
        </is>
      </c>
      <c r="D61" s="18" t="inlineStr">
        <is>
          <t>E30 не равен EI30. EI60 не равен EIS60. Нужны документы на размер, стекло и фурнитуру исполнения.</t>
        </is>
      </c>
    </row>
    <row r="62">
      <c r="A62" s="17" t="inlineStr">
        <is>
          <t>Rw / дБ</t>
        </is>
      </c>
      <c r="B62" s="17" t="inlineStr">
        <is>
          <t>Индекс изоляции воздушного шума / единица уровня</t>
        </is>
      </c>
      <c r="C62" s="17" t="inlineStr">
        <is>
          <t>Акустика</t>
        </is>
      </c>
      <c r="D62" s="17" t="inlineStr">
        <is>
          <t>Число из названия ГОСТа или рекламного диапазона не заменяет протокол на модель.</t>
        </is>
      </c>
    </row>
    <row r="63">
      <c r="A63" s="18" t="inlineStr">
        <is>
          <t>З1 / З2 / З3</t>
        </is>
      </c>
      <c r="B63" s="18" t="inlineStr">
        <is>
          <t>Классы звукоизоляции в 475-2016</t>
        </is>
      </c>
      <c r="C63" s="18" t="inlineStr">
        <is>
          <t>Акустика</t>
        </is>
      </c>
      <c r="D63" s="18" t="inlineStr">
        <is>
          <t>Число из названия ГОСТа или рекламного диапазона не заменяет протокол на модель.</t>
        </is>
      </c>
    </row>
    <row r="64">
      <c r="A64" s="17" t="inlineStr">
        <is>
          <t>35–42 дБ</t>
        </is>
      </c>
      <c r="B64" s="17" t="inlineStr">
        <is>
          <t>Диапазон рекламного описания в прайсе</t>
        </is>
      </c>
      <c r="C64" s="17" t="inlineStr">
        <is>
          <t>Акустика</t>
        </is>
      </c>
      <c r="D64" s="17" t="inlineStr">
        <is>
          <t>Число из названия ГОСТа или рекламного диапазона не заменяет протокол на модель.</t>
        </is>
      </c>
    </row>
    <row r="65">
      <c r="A65" s="18" t="inlineStr">
        <is>
          <t>шумоизоляционная</t>
        </is>
      </c>
      <c r="B65" s="18" t="inlineStr">
        <is>
          <t>Запрос на акустические свойства</t>
        </is>
      </c>
      <c r="C65" s="18" t="inlineStr">
        <is>
          <t>Акустика</t>
        </is>
      </c>
      <c r="D65" s="18" t="inlineStr">
        <is>
          <t>Число из названия ГОСТа или рекламного диапазона не заменяет протокол на модель.</t>
        </is>
      </c>
    </row>
    <row r="66">
      <c r="A66" s="17" t="inlineStr">
        <is>
          <t>МДФ / MDF</t>
        </is>
      </c>
      <c r="B66" s="17" t="inlineStr">
        <is>
          <t>Древесноволокнистый материал средней плотности</t>
        </is>
      </c>
      <c r="C66" s="17" t="inlineStr">
        <is>
          <t>Материал/отделка/размер детали</t>
        </is>
      </c>
      <c r="D66" s="17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67">
      <c r="A67" s="18" t="inlineStr">
        <is>
          <t>ХДФ / HDF</t>
        </is>
      </c>
      <c r="B67" s="18" t="inlineStr">
        <is>
          <t>Древесноволокнистый материал высокой плотности</t>
        </is>
      </c>
      <c r="C67" s="18" t="inlineStr">
        <is>
          <t>Материал/отделка/размер детали</t>
        </is>
      </c>
      <c r="D67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68">
      <c r="A68" s="17" t="inlineStr">
        <is>
          <t>ДСП</t>
        </is>
      </c>
      <c r="B68" s="17" t="inlineStr">
        <is>
          <t>Древесностружечный материал</t>
        </is>
      </c>
      <c r="C68" s="17" t="inlineStr">
        <is>
          <t>Материал/отделка/размер детали</t>
        </is>
      </c>
      <c r="D68" s="17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69">
      <c r="A69" s="18" t="inlineStr">
        <is>
          <t>ПВХ / винил</t>
        </is>
      </c>
      <c r="B69" s="18" t="inlineStr">
        <is>
          <t>Может означать плёнку отделки или профиль</t>
        </is>
      </c>
      <c r="C69" s="18" t="inlineStr">
        <is>
          <t>Материал/отделка/размер детали</t>
        </is>
      </c>
      <c r="D69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0">
      <c r="A70" s="17" t="inlineStr">
        <is>
          <t>CPL</t>
        </is>
      </c>
      <c r="B70" s="17" t="inlineStr">
        <is>
          <t>Материал декоративной облицовки</t>
        </is>
      </c>
      <c r="C70" s="17" t="inlineStr">
        <is>
          <t>Материал/отделка/размер детали</t>
        </is>
      </c>
      <c r="D70" s="17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1">
      <c r="A71" s="18" t="inlineStr">
        <is>
          <t>HPL</t>
        </is>
      </c>
      <c r="B71" s="18" t="inlineStr">
        <is>
          <t>Иной материал облицовки; нельзя автоматически заменить CPL</t>
        </is>
      </c>
      <c r="C71" s="18" t="inlineStr">
        <is>
          <t>Материал/отделка/размер детали</t>
        </is>
      </c>
      <c r="D71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2">
      <c r="A72" s="17" t="inlineStr">
        <is>
          <t>экошпон / шпон</t>
        </is>
      </c>
      <c r="B72" s="17" t="inlineStr">
        <is>
          <t>Разные виды отделки</t>
        </is>
      </c>
      <c r="C72" s="17" t="inlineStr">
        <is>
          <t>Материал/отделка/размер детали</t>
        </is>
      </c>
      <c r="D72" s="17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3">
      <c r="A73" s="18" t="inlineStr">
        <is>
          <t>эмаль / под покраску</t>
        </is>
      </c>
      <c r="B73" s="18" t="inlineStr">
        <is>
          <t>Готовое покрытие / заготовка под отделку</t>
        </is>
      </c>
      <c r="C73" s="18" t="inlineStr">
        <is>
          <t>Материал/отделка/размер детали</t>
        </is>
      </c>
      <c r="D73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4">
      <c r="A74" s="17" t="inlineStr">
        <is>
          <t>RAL / RAL 7035</t>
        </is>
      </c>
      <c r="B74" s="17" t="inlineStr">
        <is>
          <t>Обозначение цвета, не модель</t>
        </is>
      </c>
      <c r="C74" s="17" t="inlineStr">
        <is>
          <t>Материал/отделка/размер детали</t>
        </is>
      </c>
      <c r="D74" s="17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5">
      <c r="A75" s="18" t="inlineStr">
        <is>
          <t>ABS / AL</t>
        </is>
      </c>
      <c r="B75" s="18" t="inlineStr">
        <is>
          <t>Названия материалов кромки, требуют исполнения</t>
        </is>
      </c>
      <c r="C75" s="18" t="inlineStr">
        <is>
          <t>Материал/отделка/размер детали</t>
        </is>
      </c>
      <c r="D75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6">
      <c r="A76" s="17" t="inlineStr">
        <is>
          <t>D300 / Ø300</t>
        </is>
      </c>
      <c r="B76" s="17" t="inlineStr">
        <is>
          <t>Диаметр иллюминатора, не ширина дверного блока</t>
        </is>
      </c>
      <c r="C76" s="17" t="inlineStr">
        <is>
          <t>Материал/отделка/размер детали</t>
        </is>
      </c>
      <c r="D76" s="17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7">
      <c r="A77" s="18" t="inlineStr">
        <is>
          <t>300×600</t>
        </is>
      </c>
      <c r="B77" s="18" t="inlineStr">
        <is>
          <t>Может быть размером стекла, а не всей двери</t>
        </is>
      </c>
      <c r="C77" s="18" t="inlineStr">
        <is>
          <t>Материал/отделка/размер детали</t>
        </is>
      </c>
      <c r="D77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8">
      <c r="A78" s="17" t="inlineStr">
        <is>
          <t>лев / прав / Л / П</t>
        </is>
      </c>
      <c r="B78" s="17" t="inlineStr">
        <is>
          <t>Направление открывания</t>
        </is>
      </c>
      <c r="C78" s="17" t="inlineStr">
        <is>
          <t>Геометрия/единицы</t>
        </is>
      </c>
      <c r="D78" s="17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79">
      <c r="A79" s="18" t="inlineStr">
        <is>
          <t>наружу / внутрь</t>
        </is>
      </c>
      <c r="B79" s="18" t="inlineStr">
        <is>
          <t>Направление движения относительно помещения</t>
        </is>
      </c>
      <c r="C79" s="18" t="inlineStr">
        <is>
          <t>Геометрия/единицы</t>
        </is>
      </c>
      <c r="D79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0">
      <c r="A80" s="17" t="inlineStr">
        <is>
          <t>Avers / Revers / Reverse</t>
        </is>
      </c>
      <c r="B80" s="17" t="inlineStr">
        <is>
          <t>Вариант конструкции и направления открывания</t>
        </is>
      </c>
      <c r="C80" s="17" t="inlineStr">
        <is>
          <t>Геометрия/единицы</t>
        </is>
      </c>
      <c r="D80" s="17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1">
      <c r="A81" s="18" t="inlineStr">
        <is>
          <t>двупольная / двухстворчатая</t>
        </is>
      </c>
      <c r="B81" s="18" t="inlineStr">
        <is>
          <t>Два полотна</t>
        </is>
      </c>
      <c r="C81" s="18" t="inlineStr">
        <is>
          <t>Геометрия/единицы</t>
        </is>
      </c>
      <c r="D81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2">
      <c r="A82" s="17" t="inlineStr">
        <is>
          <t>полуторная / неравнопольная</t>
        </is>
      </c>
      <c r="B82" s="17" t="inlineStr">
        <is>
          <t>Полотна разной ширины</t>
        </is>
      </c>
      <c r="C82" s="17" t="inlineStr">
        <is>
          <t>Геометрия/единицы</t>
        </is>
      </c>
      <c r="D82" s="17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3">
      <c r="A83" s="18" t="inlineStr">
        <is>
          <t>800+400</t>
        </is>
      </c>
      <c r="B83" s="18" t="inlineStr">
        <is>
          <t>Ширины двух створок, не два независимых блока</t>
        </is>
      </c>
      <c r="C83" s="18" t="inlineStr">
        <is>
          <t>Геометрия/единицы</t>
        </is>
      </c>
      <c r="D83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4">
      <c r="A84" s="17" t="inlineStr">
        <is>
          <t>проём</t>
        </is>
      </c>
      <c r="B84" s="17" t="inlineStr">
        <is>
          <t>Размер отверстия в стене</t>
        </is>
      </c>
      <c r="C84" s="17" t="inlineStr">
        <is>
          <t>Геометрия/единицы</t>
        </is>
      </c>
      <c r="D84" s="17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5">
      <c r="A85" s="18" t="inlineStr">
        <is>
          <t>в свету / чистый проход</t>
        </is>
      </c>
      <c r="B85" s="18" t="inlineStr">
        <is>
          <t>Свободный проход, не габарит блока</t>
        </is>
      </c>
      <c r="C85" s="18" t="inlineStr">
        <is>
          <t>Геометрия/единицы</t>
        </is>
      </c>
      <c r="D85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6">
      <c r="A86" s="17" t="inlineStr">
        <is>
          <t>Ш×В / В×Ш</t>
        </is>
      </c>
      <c r="B86" s="17" t="inlineStr">
        <is>
          <t>Порядок ширины и высоты</t>
        </is>
      </c>
      <c r="C86" s="17" t="inlineStr">
        <is>
          <t>Геометрия/единицы</t>
        </is>
      </c>
      <c r="D86" s="17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7">
      <c r="A87" s="18" t="inlineStr">
        <is>
          <t>шт / компл / м.п. / м²</t>
        </is>
      </c>
      <c r="B87" s="18" t="inlineStr">
        <is>
          <t>Разные единицы расчёта</t>
        </is>
      </c>
      <c r="C87" s="18" t="inlineStr">
        <is>
          <t>Геометрия/единицы</t>
        </is>
      </c>
      <c r="D87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8">
      <c r="A88" s="17" t="inlineStr">
        <is>
          <t>антипаника / panic</t>
        </is>
      </c>
      <c r="B88" s="17" t="inlineStr">
        <is>
          <t>Устройство аварийного открывания</t>
        </is>
      </c>
      <c r="C88" s="17" t="inlineStr">
        <is>
          <t>Дополнительное требование</t>
        </is>
      </c>
      <c r="D88" s="17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89">
      <c r="A89" s="18" t="inlineStr">
        <is>
          <t>доводчик</t>
        </is>
      </c>
      <c r="B89" s="18" t="inlineStr">
        <is>
          <t>Устройство самозакрывания</t>
        </is>
      </c>
      <c r="C89" s="18" t="inlineStr">
        <is>
          <t>Дополнительное требование</t>
        </is>
      </c>
      <c r="D89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0">
      <c r="A90" s="17" t="inlineStr">
        <is>
          <t>координатор / синхронизатор</t>
        </is>
      </c>
      <c r="B90" s="17" t="inlineStr">
        <is>
          <t>Согласование закрывания створок</t>
        </is>
      </c>
      <c r="C90" s="17" t="inlineStr">
        <is>
          <t>Дополнительное требование</t>
        </is>
      </c>
      <c r="D90" s="17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1">
      <c r="A91" s="18" t="inlineStr">
        <is>
          <t>СКУД / СКД</t>
        </is>
      </c>
      <c r="B91" s="18" t="inlineStr">
        <is>
          <t>Система управления доступом</t>
        </is>
      </c>
      <c r="C91" s="18" t="inlineStr">
        <is>
          <t>Дополнительное требование</t>
        </is>
      </c>
      <c r="D91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2">
      <c r="A92" s="17" t="inlineStr">
        <is>
          <t>электромагнит / электромеханический замок</t>
        </is>
      </c>
      <c r="B92" s="17" t="inlineStr">
        <is>
          <t>Разные устройства запирания</t>
        </is>
      </c>
      <c r="C92" s="17" t="inlineStr">
        <is>
          <t>Дополнительное требование</t>
        </is>
      </c>
      <c r="D92" s="17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3">
      <c r="A93" s="18" t="inlineStr">
        <is>
          <t>вентрешётка / переток</t>
        </is>
      </c>
      <c r="B93" s="18" t="inlineStr">
        <is>
          <t>Вентиляционный элемент</t>
        </is>
      </c>
      <c r="C93" s="18" t="inlineStr">
        <is>
          <t>Дополнительное требование</t>
        </is>
      </c>
      <c r="D93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4">
      <c r="A94" s="17" t="inlineStr">
        <is>
          <t>выпадающий порог / гильотина</t>
        </is>
      </c>
      <c r="B94" s="17" t="inlineStr">
        <is>
          <t>Опускающийся порог</t>
        </is>
      </c>
      <c r="C94" s="17" t="inlineStr">
        <is>
          <t>Дополнительное требование</t>
        </is>
      </c>
      <c r="D94" s="17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5">
      <c r="A95" s="18" t="inlineStr">
        <is>
          <t>отбойник / отбойная пластина</t>
        </is>
      </c>
      <c r="B95" s="18" t="inlineStr">
        <is>
          <t>Защитная накладка</t>
        </is>
      </c>
      <c r="C95" s="18" t="inlineStr">
        <is>
          <t>Дополнительное требование</t>
        </is>
      </c>
      <c r="D95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6">
      <c r="A96" s="17" t="inlineStr">
        <is>
          <t>люк / ворота / фрамуга</t>
        </is>
      </c>
      <c r="B96" s="17" t="inlineStr">
        <is>
          <t>Другие изделия или дополнительные части</t>
        </is>
      </c>
      <c r="C96" s="17" t="inlineStr">
        <is>
          <t>Дополнительное требование</t>
        </is>
      </c>
      <c r="D96" s="17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7">
      <c r="A97" s="18" t="inlineStr">
        <is>
          <t>терморазрыв</t>
        </is>
      </c>
      <c r="B97" s="18" t="inlineStr">
        <is>
          <t>Конструктивное свойство, не гарантия любого уличного режима</t>
        </is>
      </c>
      <c r="C97" s="18" t="inlineStr">
        <is>
          <t>Дополнительное требование</t>
        </is>
      </c>
      <c r="D97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8">
      <c r="A98" s="17" t="inlineStr">
        <is>
          <t>монтаж / демонтаж / доставка / подъём</t>
        </is>
      </c>
      <c r="B98" s="17" t="inlineStr">
        <is>
          <t>Отдельные услуги</t>
        </is>
      </c>
      <c r="C98" s="17" t="inlineStr">
        <is>
          <t>Дополнительное требование</t>
        </is>
      </c>
      <c r="D98" s="17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9">
      <c r="A99" s="18" t="inlineStr">
        <is>
          <t>ДК</t>
        </is>
      </c>
      <c r="B99" s="18" t="inlineStr">
        <is>
          <t>Историческая дверь с качающимся остеклённым полотном</t>
        </is>
      </c>
      <c r="C99" s="18" t="inlineStr">
        <is>
          <t>Контекст письма и ведомости</t>
        </is>
      </c>
      <c r="D99" s="18" t="inlineStr">
        <is>
          <t>Не подбирать обычную распашную дверь по одной букве К.</t>
        </is>
      </c>
    </row>
    <row r="100">
      <c r="A100" s="17" t="inlineStr">
        <is>
          <t>ДУ</t>
        </is>
      </c>
      <c r="B100" s="17" t="inlineStr">
        <is>
          <t>Усиленная дверь; смысл зависит от редакции и поставщика</t>
        </is>
      </c>
      <c r="C100" s="17" t="inlineStr">
        <is>
          <t>Контекст письма и ведомости</t>
        </is>
      </c>
      <c r="D100" s="17" t="inlineStr">
        <is>
          <t>Не назначать класс прочности по самому сокращению.</t>
        </is>
      </c>
    </row>
    <row r="101">
      <c r="A101" s="18" t="inlineStr">
        <is>
          <t>П перед типом</t>
        </is>
      </c>
      <c r="B101" s="18" t="inlineStr">
        <is>
          <t>Полотно бескоробочной двери в старой маркировке</t>
        </is>
      </c>
      <c r="C101" s="18" t="inlineStr">
        <is>
          <t>Контекст письма и ведомости</t>
        </is>
      </c>
      <c r="D101" s="18" t="inlineStr">
        <is>
          <t>Не добавлять коробку в запрос только полотна.</t>
        </is>
      </c>
    </row>
    <row r="102">
      <c r="A102" s="17" t="inlineStr">
        <is>
          <t>П после размера / Н в старой марке</t>
        </is>
      </c>
      <c r="B102" s="17" t="inlineStr">
        <is>
          <t>Порог / наплав в контексте старого ГОСТ 6629</t>
        </is>
      </c>
      <c r="C102" s="17" t="inlineStr">
        <is>
          <t>Контекст письма и ведомости</t>
        </is>
      </c>
      <c r="D102" s="17" t="inlineStr">
        <is>
          <t>Не читать Н как наружное открывание из ГОСТ 31173.</t>
        </is>
      </c>
    </row>
    <row r="103">
      <c r="A103" s="18" t="inlineStr">
        <is>
          <t>Д-1 / Д1 / ДВ-2</t>
        </is>
      </c>
      <c r="B103" s="18" t="inlineStr">
        <is>
          <t>Позиционная марка проекта, не универсальная модель</t>
        </is>
      </c>
      <c r="C103" s="18" t="inlineStr">
        <is>
          <t>Контекст письма и ведомости</t>
        </is>
      </c>
      <c r="D103" s="18" t="inlineStr">
        <is>
          <t>Найти строку ведомости, легенду чертежа и спецификацию.</t>
        </is>
      </c>
    </row>
    <row r="104">
      <c r="A104" s="17" t="inlineStr">
        <is>
          <t>КП / ТКП</t>
        </is>
      </c>
      <c r="B104" s="17" t="inlineStr">
        <is>
          <t>Коммерческое / технико-коммерческое предложение</t>
        </is>
      </c>
      <c r="C104" s="17" t="inlineStr">
        <is>
          <t>Контекст письма и ведомости</t>
        </is>
      </c>
      <c r="D104" s="17" t="inlineStr">
        <is>
          <t>Цена, состав, количество, срок и условия должны быть разделены.</t>
        </is>
      </c>
    </row>
    <row r="105">
      <c r="A105" s="18" t="inlineStr">
        <is>
          <t>ВОР / ведомость заполнения проёмов</t>
        </is>
      </c>
      <c r="B105" s="18" t="inlineStr">
        <is>
          <t>Табличная заявка или проектный документ</t>
        </is>
      </c>
      <c r="C105" s="18" t="inlineStr">
        <is>
          <t>Контекст письма и ведомости</t>
        </is>
      </c>
      <c r="D105" s="18" t="inlineStr">
        <is>
          <t>Считать позиционные количества. Заголовки, итоги и повторы не суммировать.</t>
        </is>
      </c>
    </row>
    <row r="106">
      <c r="A106" s="17" t="inlineStr">
        <is>
          <t>RAтран / Rw</t>
        </is>
      </c>
      <c r="B106" s="17" t="inlineStr">
        <is>
          <t>Разные акустические показатели</t>
        </is>
      </c>
      <c r="C106" s="17" t="inlineStr">
        <is>
          <t>Контекст письма и ведомости</t>
        </is>
      </c>
      <c r="D106" s="17" t="inlineStr">
        <is>
          <t>Не сравнивать транспортный показатель с Rw автоматически.</t>
        </is>
      </c>
    </row>
    <row r="107">
      <c r="A107" s="18" t="inlineStr">
        <is>
          <t>Экошпон и ПВХ-профиль</t>
        </is>
      </c>
      <c r="B107" s="18" t="inlineStr">
        <is>
          <t>Разные конструкции и отделки</t>
        </is>
      </c>
      <c r="C107" s="18" t="inlineStr">
        <is>
          <t>Контекст письма и ведомости</t>
        </is>
      </c>
      <c r="D107" s="18" t="inlineStr">
        <is>
          <t>Плёнка на деревянной двери не делает её блоком из ПВХ-профиля.</t>
        </is>
      </c>
    </row>
    <row r="108">
      <c r="A108" s="17" t="inlineStr">
        <is>
          <t>800 / 80 / 0,8</t>
        </is>
      </c>
      <c r="B108" s="17" t="inlineStr">
        <is>
          <t>Возможные миллиметры, сантиметры, метры</t>
        </is>
      </c>
      <c r="C108" s="17" t="inlineStr">
        <is>
          <t>Контекст письма и ведомости</t>
        </is>
      </c>
      <c r="D108" s="17" t="inlineStr">
        <is>
          <t>Переводить только при явно указанной единице. Без неё задавать вопрос.</t>
        </is>
      </c>
    </row>
    <row r="109">
      <c r="A109" s="18" t="inlineStr">
        <is>
          <t>EI-60 / ЕI60 / ЕІ 60</t>
        </is>
      </c>
      <c r="B109" s="18" t="inlineStr">
        <is>
          <t>Варианты записи одного явно распознанного кода</t>
        </is>
      </c>
      <c r="C109" s="18" t="inlineStr">
        <is>
          <t>Контекст письма и ведомости</t>
        </is>
      </c>
      <c r="D109" s="18" t="inlineStr">
        <is>
          <t>Нормализовать графику символов, сохраняя E, I, S и число.</t>
        </is>
      </c>
    </row>
    <row r="110">
      <c r="A110" s="17" t="inlineStr">
        <is>
          <t>Е160 / E1S60</t>
        </is>
      </c>
      <c r="B110" s="17" t="inlineStr">
        <is>
          <t>Возможная ошибка OCR, а не доказанный EI/EIS</t>
        </is>
      </c>
      <c r="C110" s="17" t="inlineStr">
        <is>
          <t>Контекст письма и ведомости</t>
        </is>
      </c>
      <c r="D110" s="17" t="inlineStr">
        <is>
          <t>Не чинить спорный код без проверки оригинала или уточнения.</t>
        </is>
      </c>
    </row>
    <row r="111">
      <c r="A111" s="18" t="inlineStr">
        <is>
          <t>ДР-1-Г-ЭШ-60</t>
        </is>
      </c>
      <c r="B111" s="18" t="inlineStr">
        <is>
          <t>Модель-0 ПГ Ash White, полотно для раздвижной системы</t>
        </is>
      </c>
      <c r="C111" s="18" t="inlineStr">
        <is>
          <t>Внутренний код тарифа, не нормативная марка</t>
        </is>
      </c>
      <c r="D111" s="18" t="inlineStr">
        <is>
          <t>Использовать с характеристиками и ID INT-050. Не считать подтверждением ГОСТ, сертификата или полной марки проекта.</t>
        </is>
      </c>
    </row>
    <row r="112">
      <c r="A112" s="18" t="inlineStr">
        <is>
          <t>ДГ-ГР</t>
        </is>
      </c>
      <c r="B112" s="18" t="inlineStr">
        <is>
          <t>ДОРС ГШП, глухое грунтованное полотно</t>
        </is>
      </c>
      <c r="C112" s="18" t="inlineStr">
        <is>
          <t>Внутренний код тарифа, не нормативная марка</t>
        </is>
      </c>
      <c r="D112" s="18" t="inlineStr">
        <is>
          <t>Использовать с характеристиками и ID INT-051. Не считать подтверждением ГОСТ, сертификата или полной марки проекта.</t>
        </is>
      </c>
    </row>
    <row r="113">
      <c r="A113" s="18" t="inlineStr">
        <is>
          <t>ДПМ-2-Г-EI30</t>
        </is>
      </c>
      <c r="B113" s="18" t="inlineStr">
        <is>
          <t>ДПМ-2-Г-EI30, глухой двупольный блок, порошок</t>
        </is>
      </c>
      <c r="C113" s="18" t="inlineStr">
        <is>
          <t>Внутренний код тарифа, не нормативная марка</t>
        </is>
      </c>
      <c r="D113" s="18" t="inlineStr">
        <is>
          <t>Использовать с характеристиками и ID MET-007. Не считать подтверждением ГОСТ, сертификата или полной марки проекта.</t>
        </is>
      </c>
    </row>
    <row r="114">
      <c r="A114" s="18" t="inlineStr">
        <is>
          <t>ДПМ-2-Г-EI60</t>
        </is>
      </c>
      <c r="B114" s="18" t="inlineStr">
        <is>
          <t>ДПМ-2-Г-EI60, глухой двупольный блок, порошок</t>
        </is>
      </c>
      <c r="C114" s="18" t="inlineStr">
        <is>
          <t>Внутренний код тарифа, не нормативная марка</t>
        </is>
      </c>
      <c r="D114" s="18" t="inlineStr">
        <is>
          <t>Использовать с характеристиками и ID MET-008. Не считать подтверждением ГОСТ, сертификата или полной марки проекта.</t>
        </is>
      </c>
    </row>
    <row r="115">
      <c r="A115" s="18" t="inlineStr">
        <is>
          <t>ДА-1-СП-V60</t>
        </is>
      </c>
      <c r="B115" s="18" t="inlineStr">
        <is>
          <t>ДА-1-СП-V60, алюминиевый блок Vidnal V60</t>
        </is>
      </c>
      <c r="C115" s="18" t="inlineStr">
        <is>
          <t>Внутренний код тарифа, не нормативная марка</t>
        </is>
      </c>
      <c r="D115" s="18" t="inlineStr">
        <is>
          <t>Использовать с характеристиками и ID ALU-001. Не считать подтверждением ГОСТ, сертификата или полной марки проекта.</t>
        </is>
      </c>
    </row>
    <row r="116">
      <c r="A116" s="18" t="inlineStr">
        <is>
          <t>ДА-2-СП-V60</t>
        </is>
      </c>
      <c r="B116" s="18" t="inlineStr">
        <is>
          <t>ДА-2-СП-V60, алюминиевый блок Vidnal V60</t>
        </is>
      </c>
      <c r="C116" s="18" t="inlineStr">
        <is>
          <t>Внутренний код тарифа, не нормативная марка</t>
        </is>
      </c>
      <c r="D116" s="18" t="inlineStr">
        <is>
          <t>Использовать с характеристиками и ID ALU-002. Не считать подтверждением ГОСТ, сертификата или полной марки проекта.</t>
        </is>
      </c>
    </row>
    <row r="117">
      <c r="A117" s="18" t="inlineStr">
        <is>
          <t>РМ-60</t>
        </is>
      </c>
      <c r="B117" s="18" t="inlineStr">
        <is>
          <t>ECO SLIDING SET 1, до 60 кг</t>
        </is>
      </c>
      <c r="C117" s="18" t="inlineStr">
        <is>
          <t>Внутренний код фурнитуры/услуги</t>
        </is>
      </c>
      <c r="D117" s="18" t="inlineStr">
        <is>
          <t>Цена и единица по тарифу OPT-001. Надбавка за размер на этот тариф не начисляется.</t>
        </is>
      </c>
    </row>
    <row r="118">
      <c r="A118" s="18" t="inlineStr">
        <is>
          <t>РК-ВР</t>
        </is>
      </c>
      <c r="B118" s="18" t="inlineStr">
        <is>
          <t>Armadillo SH010 URB SN-3, ручка-купе</t>
        </is>
      </c>
      <c r="C118" s="18" t="inlineStr">
        <is>
          <t>Внутренний код фурнитуры/услуги</t>
        </is>
      </c>
      <c r="D118" s="18" t="inlineStr">
        <is>
          <t>Цена и единица по тарифу OPT-002. Надбавка за размер на этот тариф не начисляется.</t>
        </is>
      </c>
    </row>
    <row r="119">
      <c r="A119" s="18" t="inlineStr">
        <is>
          <t>ЗВ-КТ-РЦ</t>
        </is>
      </c>
      <c r="B119" s="18" t="inlineStr">
        <is>
          <t>Punto LOCKSET16.CRONA.4070-1 SN</t>
        </is>
      </c>
      <c r="C119" s="18" t="inlineStr">
        <is>
          <t>Внутренний код фурнитуры/услуги</t>
        </is>
      </c>
      <c r="D119" s="18" t="inlineStr">
        <is>
          <t>Цена и единица по тарифу OPT-003. Надбавка за размер на этот тариф не начисляется.</t>
        </is>
      </c>
    </row>
    <row r="120">
      <c r="A120" s="18" t="inlineStr">
        <is>
          <t>ЗН-КОД</t>
        </is>
      </c>
      <c r="B120" s="18" t="inlineStr">
        <is>
          <t>Ajax RIM-200 code SN, кодовый накладной</t>
        </is>
      </c>
      <c r="C120" s="18" t="inlineStr">
        <is>
          <t>Внутренний код фурнитуры/услуги</t>
        </is>
      </c>
      <c r="D120" s="18" t="inlineStr">
        <is>
          <t>Цена и единица по тарифу OPT-004. Надбавка за размер на этот тариф не начисляется.</t>
        </is>
      </c>
    </row>
    <row r="121">
      <c r="A121" s="18" t="inlineStr">
        <is>
          <t>ДВЧ-EN3/4-СЕР</t>
        </is>
      </c>
      <c r="B121" s="18" t="inlineStr">
        <is>
          <t>НОРА-М 3S мал., серый, арт. 4997</t>
        </is>
      </c>
      <c r="C121" s="18" t="inlineStr">
        <is>
          <t>Внутренний код фурнитуры/услуги</t>
        </is>
      </c>
      <c r="D121" s="18" t="inlineStr">
        <is>
          <t>Цена и единица по тарифу OPT-005. Надбавка за размер на этот тариф не начисляется.</t>
        </is>
      </c>
    </row>
    <row r="122">
      <c r="A122" s="18" t="inlineStr">
        <is>
          <t>ПТ-УН</t>
        </is>
      </c>
      <c r="B122" s="18" t="inlineStr">
        <is>
          <t>Петля IN4000U SN 100×70×2</t>
        </is>
      </c>
      <c r="C122" s="18" t="inlineStr">
        <is>
          <t>Внутренний код фурнитуры/услуги</t>
        </is>
      </c>
      <c r="D122" s="18" t="inlineStr">
        <is>
          <t>Цена и единица по тарифу OPT-006. Надбавка за размер на этот тариф не начисляется.</t>
        </is>
      </c>
    </row>
    <row r="123">
      <c r="A123" s="18" t="inlineStr">
        <is>
          <t>ДПГУЧ</t>
        </is>
      </c>
      <c r="B123" s="18" t="inlineStr">
        <is>
          <t>Обозначение специального полотна из заявки</t>
        </is>
      </c>
      <c r="C123" s="18" t="inlineStr">
        <is>
          <t>Заявка Москва, три этажа</t>
        </is>
      </c>
      <c r="D123" s="18" t="inlineStr">
        <is>
          <t>В заявке указаны обратная четверть, толщина 52 мм и код 45S3K. Требуется отдельный тариф исполнения. Не заменять обычной ДПГ.</t>
        </is>
      </c>
    </row>
    <row r="124">
      <c r="A124" s="18" t="inlineStr">
        <is>
          <t>УПД</t>
        </is>
      </c>
      <c r="B124" s="18" t="inlineStr">
        <is>
          <t>Сокращение в клиентской спецификации без расшифровки</t>
        </is>
      </c>
      <c r="C124" s="18" t="inlineStr">
        <is>
          <t>Заявка Москва, три этажа</t>
        </is>
      </c>
      <c r="D124" s="18" t="inlineStr">
        <is>
          <t>Сохранять в исходном тексте. Значение и состав подтвердить у клиента/производства. Не придумывать раскрытие.</t>
        </is>
      </c>
    </row>
    <row r="125">
      <c r="A125" s="18" t="inlineStr">
        <is>
          <t>45S3K</t>
        </is>
      </c>
      <c r="B125" s="18" t="inlineStr">
        <is>
          <t>Код исполнения в клиентской спецификации</t>
        </is>
      </c>
      <c r="C125" s="18" t="inlineStr">
        <is>
          <t>Заявка Москва, три этажа</t>
        </is>
      </c>
      <c r="D125" s="18" t="inlineStr">
        <is>
          <t>Сохранять буквы S/K. Не распознавать цифры 45 как подтверждённые дБ, минуты огнестойкости или толщину.</t>
        </is>
      </c>
    </row>
    <row r="126">
      <c r="A126" s="18" t="inlineStr">
        <is>
          <t>АКВА 01 ПГ</t>
        </is>
      </c>
      <c r="B126" s="18" t="inlineStr">
        <is>
          <t>Конкретная модель глухого полотна из заявки</t>
        </is>
      </c>
      <c r="C126" s="18" t="inlineStr">
        <is>
          <t>Заявка Москва, три этажа</t>
        </is>
      </c>
      <c r="D126" s="18" t="inlineStr">
        <is>
          <t>Не заменять обычным МДФ под ПВХ. Требуется цена АКВА 01 и подтверждение материала/влагостойкости.</t>
        </is>
      </c>
    </row>
    <row r="127">
      <c r="A127" s="18" t="inlineStr">
        <is>
          <t>кл/зв / ключ-завертка</t>
        </is>
      </c>
      <c r="B127" s="18" t="inlineStr">
        <is>
          <t>Способ запирания: ключ снаружи, завертка изнутри</t>
        </is>
      </c>
      <c r="C127" s="18" t="inlineStr">
        <is>
          <t>Заявка Москва, три этажа</t>
        </is>
      </c>
      <c r="D127" s="18" t="inlineStr">
        <is>
          <t>Не заменять ключ/ключ и не смешивать с направлением открывания.</t>
        </is>
      </c>
    </row>
    <row r="128">
      <c r="A128" s="18" t="inlineStr">
        <is>
          <t>обратная четверть 10×12</t>
        </is>
      </c>
      <c r="B128" s="18" t="inlineStr">
        <is>
          <t>Заданный профиль притвора с трёх сторон</t>
        </is>
      </c>
      <c r="C128" s="18" t="inlineStr">
        <is>
          <t>Заявка Москва, три этажа</t>
        </is>
      </c>
      <c r="D128" s="18" t="inlineStr">
        <is>
          <t>Геометрию профиля и толщину учитывать отдельно от ширины/высоты. Не вычитать 10/12 мм автоматически из размера полотна.</t>
        </is>
      </c>
    </row>
    <row r="129">
      <c r="A129" s="18" t="inlineStr">
        <is>
          <t>окут / окутанное</t>
        </is>
      </c>
      <c r="B129" s="18" t="inlineStr">
        <is>
          <t>Обозначение окутанного покрытия в заявке</t>
        </is>
      </c>
      <c r="C129" s="18" t="inlineStr">
        <is>
          <t>Заявка Москва, три этажа</t>
        </is>
      </c>
      <c r="D129" s="18" t="inlineStr">
        <is>
          <t>Сохранять указанный цвет и материал покрытия. Кромка ПВХ отдельно не подтверждает покрытие всего полотна ПВХ.</t>
        </is>
      </c>
    </row>
    <row r="130">
      <c r="A130" s="18" t="inlineStr">
        <is>
          <t>ДПК</t>
        </is>
      </c>
      <c r="B130" s="18" t="inlineStr">
        <is>
          <t>Древесно-полимерный композит</t>
        </is>
      </c>
      <c r="C130" s="18" t="inlineStr">
        <is>
          <t>Заявка Москва, три этажа</t>
        </is>
      </c>
      <c r="D130" s="18" t="inlineStr">
        <is>
          <t>Не подменять МДФ; для погонажа сопоставлять материал, профиль, сечение и длину.</t>
        </is>
      </c>
    </row>
    <row r="131">
      <c r="A131" s="18" t="inlineStr">
        <is>
          <t>паз-паз / шип-паз</t>
        </is>
      </c>
      <c r="B131" s="18" t="inlineStr">
        <is>
          <t>Исполнение соединения добора</t>
        </is>
      </c>
      <c r="C131" s="18" t="inlineStr">
        <is>
          <t>Заявка Москва, три этажа</t>
        </is>
      </c>
      <c r="D131" s="18" t="inlineStr">
        <is>
          <t>Сопоставлять точный профиль, материал, толщину, ширину и длину детали.</t>
        </is>
      </c>
    </row>
    <row r="132">
      <c r="A132" s="18" t="inlineStr">
        <is>
          <t>Дб-1 / Дб-2 / Дб-8 / Дб-9</t>
        </is>
      </c>
      <c r="B132" s="18" t="inlineStr">
        <is>
          <t>Проектные марки дверей</t>
        </is>
      </c>
      <c r="C132" s="18" t="inlineStr">
        <is>
          <t>Заявка Москва, три этажа</t>
        </is>
      </c>
      <c r="D132" s="18" t="inlineStr">
        <is>
          <t>Сохранять марку и этаж. Не считать обозначением производителя или автоматическим синонимом модели прайса.</t>
        </is>
      </c>
    </row>
    <row r="133">
      <c r="A133" s="18" t="inlineStr">
        <is>
          <t>сота / сотовое заполнение</t>
        </is>
      </c>
      <c r="B133" s="18" t="inlineStr">
        <is>
          <t>Требование к внутреннему заполнению полотна</t>
        </is>
      </c>
      <c r="C133" s="18" t="inlineStr">
        <is>
          <t>Заявка Москва, три этажа</t>
        </is>
      </c>
      <c r="D133" s="18" t="inlineStr">
        <is>
          <t>Совпадение слов ДПГ или ПВХ не подтверждает сотовое заполнение и заданную толщину.</t>
        </is>
      </c>
    </row>
    <row r="134">
      <c r="A134" s="18" t="inlineStr">
        <is>
          <t>ТЕЛЕСКОП</t>
        </is>
      </c>
      <c r="B134" s="18" t="inlineStr">
        <is>
          <t>Телескопическое исполнение погонажа</t>
        </is>
      </c>
      <c r="C134" s="18" t="inlineStr">
        <is>
          <t>Заявка Москва, три этажа</t>
        </is>
      </c>
      <c r="D134" s="18" t="inlineStr">
        <is>
          <t>Сохранять сечение, материал, длину и единицу продажи. Цена комплекта не является ценой одной стойки.</t>
        </is>
      </c>
    </row>
    <row r="135">
      <c r="A135" s="18" t="inlineStr">
        <is>
          <t>ДС-1-Г-ВЛ-ПВХ</t>
        </is>
      </c>
      <c r="B135" s="18" t="inlineStr">
        <is>
          <t>Внутренний код базового влагостойкого санузлового блока INT-052</t>
        </is>
      </c>
      <c r="C135" s="18" t="inlineStr">
        <is>
          <t>Предложенный вариант по рабочему прайсу</t>
        </is>
      </c>
      <c r="D135" s="18" t="inlineStr">
        <is>
          <t>Применять только к однопольной глухой ДС без явно противоречащей отделки или специальных требований. Белый ПВХ и выбранная фурнитура указываются в предварительном КП.</t>
        </is>
      </c>
    </row>
    <row r="136">
      <c r="A136" s="18" t="inlineStr">
        <is>
          <t>ЛБ в марке ДС</t>
        </is>
      </c>
      <c r="B136" s="18" t="inlineStr">
        <is>
          <t>Неоднозначное сокращение из клиентского письма</t>
        </is>
      </c>
      <c r="C136" s="18" t="inlineStr">
        <is>
          <t>ДС 1 Рп 21-7 Г ЛБ</t>
        </is>
      </c>
      <c r="D136" s="18" t="inlineStr">
        <is>
          <t>Не превращать в ламинацию, белый лак или отсутствие порога. Сохранить обозначение; предварительно предложить базовый белый блок с обычным порогом и явно указать необходимость согласовать ЛБ.</t>
        </is>
      </c>
    </row>
    <row r="137">
      <c r="A137" s="18" t="inlineStr">
        <is>
          <t>700/800/900×2100, ДС</t>
        </is>
      </c>
      <c r="B137" s="18" t="inlineStr">
        <is>
          <t>Стандартные заказные типоразмеры санузлового блока по проёму</t>
        </is>
      </c>
      <c r="C137" s="18" t="inlineStr">
        <is>
          <t>Размерная сетка INT-052, подтверждённая владельцем</t>
        </is>
      </c>
      <c r="D137" s="18" t="inlineStr">
        <is>
          <t>Надбавка 0%. Не считать высоту 2100 увеличением полотна 2000. Это не новая универсальная сетка всех моделей.</t>
        </is>
      </c>
    </row>
    <row r="138">
      <c r="A138" s="18" t="inlineStr">
        <is>
          <t>Пр в марке ДС</t>
        </is>
      </c>
      <c r="B138" s="18" t="inlineStr">
        <is>
          <t>Обычный порог</t>
        </is>
      </c>
      <c r="C138" s="18" t="inlineStr">
        <is>
          <t>ГОСТ 475-2016</t>
        </is>
      </c>
      <c r="D138" s="18" t="inlineStr">
        <is>
          <t>Добавить компонент threshold. ПрБ исключает его, По требует отдельного тарифа опускающегося порога. Пр не означает грунтовку.</t>
        </is>
      </c>
    </row>
    <row r="139">
      <c r="A139" s="18" t="inlineStr">
        <is>
          <t>КТ-ФРН-ДГ1</t>
        </is>
      </c>
      <c r="B139" s="18" t="inlineStr">
        <is>
          <t>Комплект фурнитуры OPT-007 для INT-052</t>
        </is>
      </c>
      <c r="C139" s="18" t="inlineStr">
        <is>
          <t>Отдельная цена за один комплект на блок</t>
        </is>
      </c>
      <c r="D139" s="18" t="inlineStr">
        <is>
          <t>2780 руб.: замок, ручки, петли, цилиндр ключ/ключ. Не добавлять ручки или цилиндр второй раз; надбавку за размер не начислять.</t>
        </is>
      </c>
    </row>
    <row r="140">
      <c r="A140" s="21" t="inlineStr">
        <is>
          <t>ДМ 1 21×8/21×9 Г ПрБ Мд1</t>
        </is>
      </c>
      <c r="B140" s="21" t="inlineStr">
        <is>
          <t>Межкомнатный глухой однопольный блок, без порога, с требованием Мд1</t>
        </is>
      </c>
      <c r="C140" s="21" t="inlineStr">
        <is>
          <t>Марка деревянного блока из письма 686</t>
        </is>
      </c>
      <c r="D140" s="21" t="inlineStr">
        <is>
          <t>Контекст ГОСТ 475 и МДФ. Не выбирать стальную ДМ-1 по совпадению букв; размеры в марке относятся к проёму.</t>
        </is>
      </c>
    </row>
    <row r="141">
      <c r="A141" s="23" t="inlineStr">
        <is>
          <t>Мд1</t>
        </is>
      </c>
      <c r="B141" s="23" t="inlineStr">
        <is>
          <t>Требование класса прочности деревянного/комбинированного блока</t>
        </is>
      </c>
      <c r="C141" s="23" t="inlineStr">
        <is>
          <t>Техническое требование письма</t>
        </is>
      </c>
      <c r="D141" s="23" t="inlineStr">
        <is>
          <t>Не считать обозначение названием модели. Требование передавать в requirements.technical.mechanical_class; если модель не подтверждает класс, нужен ответ производства.</t>
        </is>
      </c>
    </row>
    <row r="142">
      <c r="A142" s="21" t="inlineStr">
        <is>
          <t>ДПСО 01 / ДПСО 02</t>
        </is>
      </c>
      <c r="B142" s="21" t="inlineStr">
        <is>
          <t>Проектные марки стального противопожарного остеклённого блока</t>
        </is>
      </c>
      <c r="C142" s="21" t="inlineStr">
        <is>
          <t>Письмо 686</t>
        </is>
      </c>
      <c r="D142" s="21" t="inlineStr">
        <is>
          <t>В этом письме 01 — однопольная, 02 — двупольная, что подтверждено полным текстом. По одному коду без текста не угадывать.</t>
        </is>
      </c>
    </row>
    <row r="143">
      <c r="A143" s="23" t="inlineStr">
        <is>
          <t>СМ4 в стекле</t>
        </is>
      </c>
      <c r="B143" s="23" t="inlineStr">
        <is>
          <t>Отдельное требование к защитному стеклу по указанному клиентом ГОСТ</t>
        </is>
      </c>
      <c r="C143" s="23" t="inlineStr">
        <is>
          <t>Противопожарное остекление</t>
        </is>
      </c>
      <c r="D143" s="23" t="inlineStr">
        <is>
          <t>Сохранять исходное обозначение. EIW30/EIW60 и СМ4 проверяются отдельно; цену и документы на СМ4 не додумывать.</t>
        </is>
      </c>
    </row>
    <row r="144">
      <c r="A144" s="21" t="inlineStr">
        <is>
          <t>самозаплавляющаяся вентиляция</t>
        </is>
      </c>
      <c r="B144" s="21" t="inlineStr">
        <is>
          <t>Вентиляционный узел с интумесцентным заполнением</t>
        </is>
      </c>
      <c r="C144" s="21" t="inlineStr">
        <is>
          <t>Противопожарная дверь</t>
        </is>
      </c>
      <c r="D144" s="21" t="inlineStr">
        <is>
          <t>Обычная вентиляционная решётка не заменяет такой узел. Вкладыш без жалюзи и заводской обработки не образует комплект.</t>
        </is>
      </c>
    </row>
    <row r="145">
      <c r="A145" s="23" t="inlineStr">
        <is>
          <t>фрамуга в противопожарной двери</t>
        </is>
      </c>
      <c r="B145" s="23" t="inlineStr">
        <is>
          <t>Отдельная часть заводского противопожарного блока</t>
        </is>
      </c>
      <c r="C145" s="23" t="inlineStr">
        <is>
          <t>Конструкция</t>
        </is>
      </c>
      <c r="D145" s="23" t="inlineStr">
        <is>
          <t>Нужны цена требуемого исполнения, размеры, заполнение и документы. Наценка за высоту не создаёт фрамугу.</t>
        </is>
      </c>
    </row>
    <row r="146">
      <c r="A146" s="21" t="inlineStr">
        <is>
          <t>СИАЛ или аналог</t>
        </is>
      </c>
      <c r="B146" s="21" t="inlineStr">
        <is>
          <t>Профиль, допускающий согласованный эквивалент</t>
        </is>
      </c>
      <c r="C146" s="21" t="inlineStr">
        <is>
          <t>Алюминиевые блоки</t>
        </is>
      </c>
      <c r="D146" s="21" t="inlineStr">
        <is>
          <t>Vidnal/Alutech не объявлять эквивалентом автоматически. Проверить теплотехнику, заполнение, размеры и комплект.</t>
        </is>
      </c>
    </row>
    <row r="147">
      <c r="A147" s="23" t="inlineStr">
        <is>
          <t>равнопольная алюминиевая дверь</t>
        </is>
      </c>
      <c r="B147" s="23" t="inlineStr">
        <is>
          <t>Двупольный блок с равными створками</t>
        </is>
      </c>
      <c r="C147" s="23" t="inlineStr">
        <is>
          <t>Алюминиевые блоки</t>
        </is>
      </c>
      <c r="D147" s="23" t="inlineStr">
        <is>
          <t>Цена полуторного блока не подтверждает равнопольную компоновку. Характеристика equal_leaves требует подтверждения.</t>
        </is>
      </c>
    </row>
    <row r="148">
      <c r="A148" s="21" t="inlineStr">
        <is>
          <t>СПО40 в письме 686</t>
        </is>
      </c>
      <c r="B148" s="21" t="inlineStr">
        <is>
          <t>Исходное обозначение при одновременно указанном двухкамерном стеклопакете</t>
        </is>
      </c>
      <c r="C148" s="21" t="inlineStr">
        <is>
          <t>Противоречие исходной спецификации</t>
        </is>
      </c>
      <c r="D148" s="21" t="inlineStr">
        <is>
          <t>Не исправлять молча. Сохранить текст, формулу 6М1зак-12-4М1-12-6Изак и запросить согласование обозначения.</t>
        </is>
      </c>
    </row>
    <row r="149">
      <c r="A149" s="23" t="inlineStr">
        <is>
          <t>У в марке ДПС</t>
        </is>
      </c>
      <c r="B149" s="23" t="inlineStr">
        <is>
          <t>В этой заявке утепление прямо подтверждено текстом</t>
        </is>
      </c>
      <c r="C149" s="23" t="inlineStr">
        <is>
          <t>Контекстное сокращение</t>
        </is>
      </c>
      <c r="D149" s="23" t="inlineStr">
        <is>
          <t>Не выводить тип утеплителя по одной букве. Полное описание и технические данные модели имеют приоритет.</t>
        </is>
      </c>
    </row>
    <row r="150">
      <c r="A150" s="21" t="inlineStr">
        <is>
          <t>МДФ, наличники МДФ, доборы</t>
        </is>
      </c>
      <c r="B150" s="21" t="inlineStr">
        <is>
          <t>Требование к материалу и составу поставки</t>
        </is>
      </c>
      <c r="C150" s="21" t="inlineStr">
        <is>
          <t>Комплектация</t>
        </is>
      </c>
      <c r="D150" s="21" t="inlineStr">
        <is>
          <t>Композитный санузловой ПВХ блок INT-052 не является автоматической заменой МДФ. Нужны цены погонажа, его количество и ширина.</t>
        </is>
      </c>
    </row>
    <row r="151">
      <c r="A151" s="23" t="inlineStr">
        <is>
          <t>номинальный и фактический размеры</t>
        </is>
      </c>
      <c r="B151" s="23" t="inlineStr">
        <is>
          <t>Разные наборы размеров в марке и описании</t>
        </is>
      </c>
      <c r="C151" s="23" t="inlineStr">
        <is>
          <t>Размеры письма 686</t>
        </is>
      </c>
      <c r="D151" s="23" t="inlineStr">
        <is>
          <t>Сохранять оба. 2400×1400 в марке и 1350×2375 в тексте не сравнивать как изменение одной размерной базы. 2100×900 и 1050×2075 требуют отдельного уточнения.</t>
        </is>
      </c>
    </row>
    <row r="152">
      <c r="A152" s="21" t="inlineStr">
        <is>
          <t>ДМ-1-Г-МДФ-PP-ТЕХНО</t>
        </is>
      </c>
      <c r="B152" s="21" t="inlineStr">
        <is>
          <t>Верда Техно ДГ Белый, МДФ в полипропилене</t>
        </is>
      </c>
      <c r="C152" s="21" t="inlineStr">
        <is>
          <t>Внутренний смысловой код тарифа</t>
        </is>
      </c>
      <c r="D152" s="21" t="inlineStr">
        <is>
          <t>Цена и состав по INT-053. Код не является сертификатом и не доказывает полную проектную марку.</t>
        </is>
      </c>
    </row>
    <row r="153">
      <c r="A153" s="23" t="inlineStr">
        <is>
          <t>ДПСО-1-О-EIW60-Н195</t>
        </is>
      </c>
      <c r="B153" s="23" t="inlineStr">
        <is>
          <t>ДПСО-1-EIW60, остеклённый стальной блок Н195</t>
        </is>
      </c>
      <c r="C153" s="23" t="inlineStr">
        <is>
          <t>Внутренний смысловой код тарифа</t>
        </is>
      </c>
      <c r="D153" s="23" t="inlineStr">
        <is>
          <t>Цена и состав по MET-009. Код не является сертификатом и не доказывает полную проектную марку.</t>
        </is>
      </c>
    </row>
    <row r="154">
      <c r="A154" s="21" t="inlineStr">
        <is>
          <t>ДПСО-1-Ф-EIW60-Н371</t>
        </is>
      </c>
      <c r="B154" s="21" t="inlineStr">
        <is>
          <t>ДПСО-1-Ф-EIW60, остеклённый стальной блок с фрамугой Н371</t>
        </is>
      </c>
      <c r="C154" s="21" t="inlineStr">
        <is>
          <t>Внутренний смысловой код тарифа</t>
        </is>
      </c>
      <c r="D154" s="21" t="inlineStr">
        <is>
          <t>Цена и состав по MET-010. Код не является сертификатом и не доказывает полную проектную марку.</t>
        </is>
      </c>
    </row>
    <row r="155">
      <c r="A155" s="23" t="inlineStr">
        <is>
          <t>ДПСО-2-О-EIW30-001C</t>
        </is>
      </c>
      <c r="B155" s="23" t="inlineStr">
        <is>
          <t>ДПСО-2-001C, стальной остеклённый двупольный EIW30</t>
        </is>
      </c>
      <c r="C155" s="23" t="inlineStr">
        <is>
          <t>Внутренний смысловой код тарифа</t>
        </is>
      </c>
      <c r="D155" s="23" t="inlineStr">
        <is>
          <t>Цена и состав по MET-011. Код не является сертификатом и не доказывает полную проектную марку.</t>
        </is>
      </c>
    </row>
    <row r="156">
      <c r="A156" s="21" t="inlineStr">
        <is>
          <t>ДПС-1-Г-СВ-EI60-PD195</t>
        </is>
      </c>
      <c r="B156" s="21" t="inlineStr">
        <is>
          <t>ДПС-1-Г-СВ-EI60, блок с самозаплавляющейся вентиляцией pd195</t>
        </is>
      </c>
      <c r="C156" s="21" t="inlineStr">
        <is>
          <t>Внутренний смысловой код тарифа</t>
        </is>
      </c>
      <c r="D156" s="21" t="inlineStr">
        <is>
          <t>Цена и состав по MET-012. Код не является сертификатом и не доказывает полную проектную марку.</t>
        </is>
      </c>
    </row>
    <row r="157">
      <c r="A157" s="23" t="inlineStr">
        <is>
          <t>ДПС-2-Г-У-EI60-КЛИН</t>
        </is>
      </c>
      <c r="B157" s="23" t="inlineStr">
        <is>
          <t>ДПС-2-Г-У-EI60, утеплённый двупольный блок Клин</t>
        </is>
      </c>
      <c r="C157" s="23" t="inlineStr">
        <is>
          <t>Внутренний смысловой код тарифа</t>
        </is>
      </c>
      <c r="D157" s="23" t="inlineStr">
        <is>
          <t>Цена и состав по MET-013. Код не является сертификатом и не доказывает полную проектную марку.</t>
        </is>
      </c>
    </row>
    <row r="158">
      <c r="A158" s="21" t="inlineStr">
        <is>
          <t>ДА-1-О-Т-СИАЛ-СПД32</t>
        </is>
      </c>
      <c r="B158" s="21" t="inlineStr">
        <is>
          <t>ДА-1-СПД32-КПТ74, тёплый блок СИАЛ</t>
        </is>
      </c>
      <c r="C158" s="21" t="inlineStr">
        <is>
          <t>Внутренний смысловой код тарифа</t>
        </is>
      </c>
      <c r="D158" s="21" t="inlineStr">
        <is>
          <t>Цена и состав по ALU-003. Код не является сертификатом и не доказывает полную проектную марку.</t>
        </is>
      </c>
    </row>
    <row r="159">
      <c r="A159" s="23" t="inlineStr">
        <is>
          <t>ДА-2-О-Т-СИАЛ-СПД32</t>
        </is>
      </c>
      <c r="B159" s="23" t="inlineStr">
        <is>
          <t>ДА-2-СПД32-КПТ74, тёплый двупольный блок СИАЛ</t>
        </is>
      </c>
      <c r="C159" s="23" t="inlineStr">
        <is>
          <t>Внутренний смысловой код тарифа</t>
        </is>
      </c>
      <c r="D159" s="23" t="inlineStr">
        <is>
          <t>Цена и состав по ALU-004. Код не является сертификатом и не доказывает полную проектную марку.</t>
        </is>
      </c>
    </row>
    <row r="160">
      <c r="A160" s="21" t="inlineStr">
        <is>
          <t>ДА-2-О-Ф-ALUTECH-W62</t>
        </is>
      </c>
      <c r="B160" s="21" t="inlineStr">
        <is>
          <t>ДА-2-Ф-W62, алюминиевый блок Alutech с фрамугой</t>
        </is>
      </c>
      <c r="C160" s="21" t="inlineStr">
        <is>
          <t>Внутренний смысловой код тарифа</t>
        </is>
      </c>
      <c r="D160" s="21" t="inlineStr">
        <is>
          <t>Цена и состав по ALU-005. Код не является сертификатом и не доказывает полную проектную марку.</t>
        </is>
      </c>
    </row>
    <row r="161">
      <c r="A161" s="23" t="inlineStr">
        <is>
          <t>ДА-1-Г-Т-VIDNAL-V60</t>
        </is>
      </c>
      <c r="B161" s="23" t="inlineStr">
        <is>
          <t>ДА-1-Г-Т-V60, тёплый глухой блок Vidnal</t>
        </is>
      </c>
      <c r="C161" s="23" t="inlineStr">
        <is>
          <t>Внутренний смысловой код тарифа</t>
        </is>
      </c>
      <c r="D161" s="23" t="inlineStr">
        <is>
          <t>Цена и состав по ALU-006. Код не является сертификатом и не доказывает полную проектную марку.</t>
        </is>
      </c>
    </row>
    <row r="162">
      <c r="A162" s="21" t="inlineStr">
        <is>
          <t>ВР-СЗ-100-FIREFIX</t>
        </is>
      </c>
      <c r="B162" s="21" t="inlineStr">
        <is>
          <t>FIREFIX, огнестойкий вентиляционный вкладыш 100×100×40</t>
        </is>
      </c>
      <c r="C162" s="21" t="inlineStr">
        <is>
          <t>Внутренний код дополнения</t>
        </is>
      </c>
      <c r="D162" s="21" t="inlineStr">
        <is>
          <t>Использовать тариф OPT-008. Пустая цена означает отсутствие тарифа; не считать её нулём.</t>
        </is>
      </c>
    </row>
    <row r="163">
      <c r="A163" s="23" t="inlineStr">
        <is>
          <t>СВ-ЗАВОД-УЗЕЛ</t>
        </is>
      </c>
      <c r="B163" s="23" t="inlineStr">
        <is>
          <t>Заводской узел самозаплавляющейся вентиляции: жалюзи, вырез, усиление, сборка</t>
        </is>
      </c>
      <c r="C163" s="23" t="inlineStr">
        <is>
          <t>Внутренний код дополнения</t>
        </is>
      </c>
      <c r="D163" s="23" t="inlineStr">
        <is>
          <t>Использовать тариф OPT-009. Пустая цена означает отсутствие тарифа; не считать её нулём.</t>
        </is>
      </c>
    </row>
    <row r="164">
      <c r="A164" s="21" t="inlineStr">
        <is>
          <t>СТ-СМ4-ПП</t>
        </is>
      </c>
      <c r="B164" s="21" t="inlineStr">
        <is>
          <t>Стекло СМ4 в противопожарном блоке, подтверждение и изменение комплектации</t>
        </is>
      </c>
      <c r="C164" s="21" t="inlineStr">
        <is>
          <t>Внутренний код дополнения</t>
        </is>
      </c>
      <c r="D164" s="21" t="inlineStr">
        <is>
          <t>Использовать тариф OPT-010. Пустая цена означает отсутствие тарифа; не считать её нулём.</t>
        </is>
      </c>
    </row>
    <row r="165">
      <c r="A165" s="23" t="inlineStr">
        <is>
          <t>ДПСО-2-Ф-50-EIW30</t>
        </is>
      </c>
      <c r="B165" s="23" t="inlineStr">
        <is>
          <t>EIW30: остекление до 50% и фрамуга вместо базового исполнения до 25%</t>
        </is>
      </c>
      <c r="C165" s="23" t="inlineStr">
        <is>
          <t>Внутренний код дополнения</t>
        </is>
      </c>
      <c r="D165" s="23" t="inlineStr">
        <is>
          <t>Использовать тариф OPT-011. Пустая цена означает отсутствие тарифа; не считать её нулём.</t>
        </is>
      </c>
    </row>
    <row r="166">
      <c r="A166" s="21" t="inlineStr">
        <is>
          <t>СПД40-6ЗАК-12-4-12-6ИЗАК</t>
        </is>
      </c>
      <c r="B166" s="21" t="inlineStr">
        <is>
          <t>СПД40 6М1зак-12-4М1-12-6Изак для алюминиевой двери</t>
        </is>
      </c>
      <c r="C166" s="21" t="inlineStr">
        <is>
          <t>Внутренний код дополнения</t>
        </is>
      </c>
      <c r="D166" s="21" t="inlineStr">
        <is>
          <t>Использовать тариф OPT-012. Пустая цена означает отсутствие тарифа; не считать её нулём.</t>
        </is>
      </c>
    </row>
    <row r="167">
      <c r="A167" s="23" t="inlineStr">
        <is>
          <t>АЛ-RAL7024</t>
        </is>
      </c>
      <c r="B167" s="23" t="inlineStr">
        <is>
          <t>RAL 7024 для алюминиевого блока вместо базового белого</t>
        </is>
      </c>
      <c r="C167" s="23" t="inlineStr">
        <is>
          <t>Внутренний код дополнения</t>
        </is>
      </c>
      <c r="D167" s="23" t="inlineStr">
        <is>
          <t>Использовать тариф OPT-013. Пустая цена означает отсутствие тарифа; не считать её нулём.</t>
        </is>
      </c>
    </row>
    <row r="168">
      <c r="A168" s="21" t="inlineStr">
        <is>
          <t>АЛ-ФРАМУГА-ЗАВОД</t>
        </is>
      </c>
      <c r="B168" s="21" t="inlineStr">
        <is>
          <t>Фрамуга алюминиевого блока СИАЛ: изготовление и заполнение</t>
        </is>
      </c>
      <c r="C168" s="21" t="inlineStr">
        <is>
          <t>Внутренний код дополнения</t>
        </is>
      </c>
      <c r="D168" s="21" t="inlineStr">
        <is>
          <t>Использовать тариф OPT-014. Пустая цена означает отсутствие тарифа; не считать её нулём.</t>
        </is>
      </c>
    </row>
    <row r="169">
      <c r="A169" s="23" t="inlineStr">
        <is>
          <t>АЛ-ФРН-КОМПЛЕКТ</t>
        </is>
      </c>
      <c r="B169" s="23" t="inlineStr">
        <is>
          <t>Алюминиевый блок: порог, шпингалеты, координатор и доводчики по проекту</t>
        </is>
      </c>
      <c r="C169" s="23" t="inlineStr">
        <is>
          <t>Внутренний код дополнения</t>
        </is>
      </c>
      <c r="D169" s="23" t="inlineStr">
        <is>
          <t>Использовать тариф OPT-015. Пустая цена означает отсутствие тарифа; не считать её нулём.</t>
        </is>
      </c>
    </row>
    <row r="170">
      <c r="A170" s="21" t="inlineStr">
        <is>
          <t>АЛ-Г-ИМПОСТ-КЛЗВ</t>
        </is>
      </c>
      <c r="B170" s="21" t="inlineStr">
        <is>
          <t>Алюминиевый блок: импост и замок ключ/завёртка</t>
        </is>
      </c>
      <c r="C170" s="21" t="inlineStr">
        <is>
          <t>Внутренний код дополнения</t>
        </is>
      </c>
      <c r="D170" s="21" t="inlineStr">
        <is>
          <t>Использовать тариф OPT-016. Пустая цена означает отсутствие тарифа; не считать её нулём.</t>
        </is>
      </c>
    </row>
    <row r="171">
      <c r="A171" s="23" t="inlineStr">
        <is>
          <t>ДС-МДФ-ВЛ-ПР</t>
        </is>
      </c>
      <c r="B171" s="23" t="inlineStr">
        <is>
          <t>Санузловой МДФ: влагостойкое исполнение и порог</t>
        </is>
      </c>
      <c r="C171" s="23" t="inlineStr">
        <is>
          <t>Внутренний код дополнения</t>
        </is>
      </c>
      <c r="D171" s="23" t="inlineStr">
        <is>
          <t>Использовать тариф OPT-017. Пустая цена означает отсутствие тарифа; не считать её нулём.</t>
        </is>
      </c>
    </row>
    <row r="172">
      <c r="A172" s="21" t="inlineStr">
        <is>
          <t>предварительная смета</t>
        </is>
      </c>
      <c r="B172" s="21" t="inlineStr">
        <is>
          <t>Расчёт выбранной предложенной комплектации с явными допущениями</t>
        </is>
      </c>
      <c r="C172" s="21" t="inlineStr">
        <is>
          <t>Коммерческий режим</t>
        </is>
      </c>
      <c r="D172" s="21" t="inlineStr">
        <is>
          <t>Использовать runtime/estimate.py и профиль сметы. Не выдавать за подтверждённую заводскую оферту.</t>
        </is>
      </c>
    </row>
    <row r="173">
      <c r="A173" s="23" t="inlineStr">
        <is>
          <t>СМ4 резерв замены</t>
        </is>
      </c>
      <c r="B173" s="23" t="inlineStr">
        <is>
          <t>Полная стоимость нового защитного стекла в бюджетном расчёте</t>
        </is>
      </c>
      <c r="C173" s="23" t="inlineStr">
        <is>
          <t>Остекление</t>
        </is>
      </c>
      <c r="D173" s="23" t="inlineStr">
        <is>
          <t>Это не доплата за класс стекла. Цена штатного стекла не вычиталась; указывать резерв и основания площади.</t>
        </is>
      </c>
    </row>
    <row r="174">
      <c r="A174" s="21" t="inlineStr">
        <is>
          <t>СПД40 6М1зак-12-4М1-12-6Изак</t>
        </is>
      </c>
      <c r="B174" s="21" t="inlineStr">
        <is>
          <t>Три стекла, две камеры, толщина 40 мм</t>
        </is>
      </c>
      <c r="C174" s="21" t="inlineStr">
        <is>
          <t>Смета алюминия</t>
        </is>
      </c>
      <c r="D174" s="21" t="inlineStr">
        <is>
          <t>Сумма толщин 6+12+4+12+6=40. Сохранить исходное СПО40 как противоречие; принять СПД40 только как сметное допущение.</t>
        </is>
      </c>
    </row>
    <row r="175">
      <c r="A175" s="23" t="inlineStr">
        <is>
          <t>фрамуга 300 мм в смете</t>
        </is>
      </c>
      <c r="B175" s="23" t="inlineStr">
        <is>
          <t>Предложенная высота верхней секции для расчёта</t>
        </is>
      </c>
      <c r="C175" s="23" t="inlineStr">
        <is>
          <t>Допущение</t>
        </is>
      </c>
      <c r="D175" s="23" t="inlineStr">
        <is>
          <t>Это не извлечённый из письма размер и не подтверждённый рабочий чертёж.</t>
        </is>
      </c>
    </row>
    <row r="176">
      <c r="A176" s="21" t="inlineStr">
        <is>
          <t>СИАЛ или аналог</t>
        </is>
      </c>
      <c r="B176" s="21" t="inlineStr">
        <is>
          <t>Допустимость предложенного другого профиля</t>
        </is>
      </c>
      <c r="C176" s="21" t="inlineStr">
        <is>
          <t>Профиль</t>
        </is>
      </c>
      <c r="D176" s="21" t="inlineStr">
        <is>
          <t>Сохранить условие клиента. Аналог не переименовывать в СИАЛ; подтвердить эквивалентность.</t>
        </is>
      </c>
    </row>
    <row r="177">
      <c r="A177" s="23" t="inlineStr">
        <is>
          <t>неактивный тариф</t>
        </is>
      </c>
      <c r="B177" s="23" t="inlineStr">
        <is>
          <t>Старый составной запрос без точной отдельной цены</t>
        </is>
      </c>
      <c r="C177" s="23" t="inlineStr">
        <is>
          <t>Совместимость</t>
        </is>
      </c>
      <c r="D177" s="23" t="inlineStr">
        <is>
          <t>active=false не выбирать. Не подставлять ноль; смету считать по новому профилю с явно оценёнными частями.</t>
        </is>
      </c>
    </row>
    <row r="178">
      <c r="A178" s="21" t="inlineStr">
        <is>
          <t>номинальный заказной размер</t>
        </is>
      </c>
      <c r="B178" s="21" t="inlineStr">
        <is>
          <t>Размер марки для выбора ценового типоразмера</t>
        </is>
      </c>
      <c r="C178" s="21" t="inlineStr">
        <is>
          <t>Геометрия</t>
        </is>
      </c>
      <c r="D178" s="21" t="inlineStr">
        <is>
          <t>Не считать его фактическим полотном или коробкой. Не переносить правила одной модели на другую.</t>
        </is>
      </c>
    </row>
    <row r="179">
      <c r="A179" s="23" t="inlineStr">
        <is>
          <t>резерв на полную замену стекла</t>
        </is>
      </c>
      <c r="B179" s="23" t="inlineStr">
        <is>
          <t>Бюджет нового остекления без зачёта штатного</t>
        </is>
      </c>
      <c r="C179" s="23" t="inlineStr">
        <is>
          <t>Комплектация</t>
        </is>
      </c>
      <c r="D179" s="23" t="inlineStr">
        <is>
          <t>Не скрывать возможное завышение. После подтверждения состава пересчитать чистую доплату.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4.44000053405762" customWidth="1" min="1" max="1"/>
    <col width="116.6699981689453" customWidth="1" min="2" max="2"/>
    <col width="73.33000183105469" customWidth="1" min="3" max="3"/>
  </cols>
  <sheetData>
    <row r="1">
      <c r="A1" s="13" t="n"/>
      <c r="B1" s="13" t="n"/>
      <c r="C1" s="13" t="n"/>
    </row>
    <row r="2">
      <c r="A2" s="14" t="inlineStr">
        <is>
          <t>Задача Клауду</t>
        </is>
      </c>
      <c r="B2" s="13" t="n"/>
      <c r="C2" s="13" t="n"/>
    </row>
    <row r="3">
      <c r="A3" s="13" t="inlineStr">
        <is>
          <t>Подключить к ИИ-агенту рабочие прайсы, локальный расчёт и правила нестандартных размеров.</t>
        </is>
      </c>
      <c r="B3" s="13" t="n"/>
      <c r="C3" s="13" t="n"/>
    </row>
    <row r="4">
      <c r="A4" s="15" t="n"/>
      <c r="B4" s="15" t="n"/>
      <c r="C4" s="15" t="n"/>
    </row>
    <row r="5">
      <c r="A5" s="16" t="inlineStr">
        <is>
          <t>Шаг</t>
        </is>
      </c>
      <c r="B5" s="16" t="inlineStr">
        <is>
          <t>Задача Клауду</t>
        </is>
      </c>
      <c r="C5" s="16" t="inlineStr">
        <is>
          <t>Приёмка</t>
        </is>
      </c>
    </row>
    <row r="6">
      <c r="A6" s="17" t="inlineStr">
        <is>
          <t>Подключение</t>
        </is>
      </c>
      <c r="B6" s="17" t="inlineStr">
        <is>
          <t>Использовать локальные прайсы и JSON для расчёта КП ИИ-агентом. Цены рабочие.</t>
        </is>
      </c>
      <c r="C6" s="17" t="inlineStr">
        <is>
          <t>Поиск цен в интернете не вызывается.</t>
        </is>
      </c>
    </row>
    <row r="7">
      <c r="A7" s="18" t="inlineStr">
        <is>
          <t>Обычный размер</t>
        </is>
      </c>
      <c r="B7" s="18" t="inlineStr">
        <is>
          <t>Точное совпадение с размерной сеткой той же модели даёт надбавку 0%.</t>
        </is>
      </c>
      <c r="C7" s="18" t="inlineStr">
        <is>
          <t>Стандарт не получает лишние 30%.</t>
        </is>
      </c>
    </row>
    <row r="8">
      <c r="A8" s="17" t="inlineStr">
        <is>
          <t>Нестандарт</t>
        </is>
      </c>
      <c r="B8" s="17" t="inlineStr">
        <is>
          <t>Любое отличие, включая уменьшение, даёт +30% к базе изделия.</t>
        </is>
      </c>
      <c r="C8" s="17" t="inlineStr">
        <is>
          <t>Коэффициент 1.30.</t>
        </is>
      </c>
    </row>
    <row r="9">
      <c r="A9" s="18" t="inlineStr">
        <is>
          <t>Большой размер</t>
        </is>
      </c>
      <c r="B9" s="18" t="inlineStr">
        <is>
          <t>Если ширина ИЛИ высота больше подходящего стандарта строго более чем на 30%, применять +100%.</t>
        </is>
      </c>
      <c r="C9" s="18" t="inlineStr">
        <is>
          <t>Коэффициент 2.00; ровно 30% остаётся в тарифе +30%.</t>
        </is>
      </c>
    </row>
    <row r="10">
      <c r="A10" s="17" t="inlineStr">
        <is>
          <t>Один тариф</t>
        </is>
      </c>
      <c r="B10" s="17" t="inlineStr">
        <is>
          <t>Выбирать одну надбавку: 0%, 30% или 100%.</t>
        </is>
      </c>
      <c r="C10" s="17" t="inlineStr">
        <is>
          <t>Не суммировать проценты между собой и за две оси.</t>
        </is>
      </c>
    </row>
    <row r="11">
      <c r="A11" s="18" t="inlineStr">
        <is>
          <t>База и компоненты</t>
        </is>
      </c>
      <c r="B11" s="18" t="inlineStr">
        <is>
          <t>Начислять надбавку на полотно, пару полотен или блок. Отдельные коробка, наличники, добор и порог сохраняют цену.</t>
        </is>
      </c>
      <c r="C11" s="18" t="inlineStr">
        <is>
          <t>У металлического блока коробка уже включена и добавляет 0.</t>
        </is>
      </c>
    </row>
    <row r="12">
      <c r="A12" s="17" t="inlineStr">
        <is>
          <t>Эталон</t>
        </is>
      </c>
      <c r="B12" s="17" t="inlineStr">
        <is>
          <t>Выбирать действительную пару Ш×В той же модели с наименьшим максимальным положительным увеличением. При равенстве — ближайшую по миллиметрам.</t>
        </is>
      </c>
      <c r="C12" s="17" t="inlineStr">
        <is>
          <t>Не смешивать ширину и высоту разных стандартов.</t>
        </is>
      </c>
    </row>
    <row r="13">
      <c r="A13" s="18" t="inlineStr">
        <is>
          <t>Размерное основание</t>
        </is>
      </c>
      <c r="B13" s="18" t="inlineStr">
        <is>
          <t>Различать полотно, блок, пару полотен, проём и чистый проход. В таблице Размеры порядок Ш×В, мм.</t>
        </is>
      </c>
      <c r="C13" s="18" t="inlineStr">
        <is>
          <t>Проём не переводится в полотно универсальным зазором.</t>
        </is>
      </c>
    </row>
    <row r="14">
      <c r="A14" s="17" t="inlineStr">
        <is>
          <t>Двупольные</t>
        </is>
      </c>
      <c r="B14" s="17" t="inlineStr">
        <is>
          <t>Пару полотен считать одной базовой позицией. Для нестандартной пары сравнивать также каждую створку.</t>
        </is>
      </c>
      <c r="C14" s="17" t="inlineStr">
        <is>
          <t>Двойная цена базы не начисляется.</t>
        </is>
      </c>
    </row>
    <row r="15">
      <c r="A15" s="18" t="inlineStr">
        <is>
          <t>Производство</t>
        </is>
      </c>
      <c r="B15" s="18" t="inlineStr">
        <is>
          <t>Для каждой нестандартной строки обязательно: «Нестандартные позиции подлежат уточнению на производстве.»</t>
        </is>
      </c>
      <c r="C15" s="18" t="inlineStr">
        <is>
          <t>Сумма рассчитывается сразу; КП с такой строкой обозначается предварительным.</t>
        </is>
      </c>
    </row>
    <row r="16">
      <c r="A16" s="17" t="inlineStr">
        <is>
          <t>Технические требования</t>
        </is>
      </c>
      <c r="B16" s="17" t="inlineStr">
        <is>
          <t>Не заменять E, EI, EIS и не обещать огнестойкость изменённой конструкции по одному названию.</t>
        </is>
      </c>
      <c r="C16" s="17" t="inlineStr">
        <is>
          <t>Для противопожарного нестандарта добавить уточнение размера и огнестойкости.</t>
        </is>
      </c>
    </row>
    <row r="17">
      <c r="A17" s="18" t="inlineStr">
        <is>
          <t>Разбор письма</t>
        </is>
      </c>
      <c r="B17" s="18" t="inlineStr">
        <is>
          <t>Извлечь модель, количество, единицу, размер, состав и требования. Сокращения ДМ-1, ДПГ и ДПО могут быть неоднозначны.</t>
        </is>
      </c>
      <c r="C17" s="18" t="inlineStr">
        <is>
          <t>При нескольких моделях уточнить различающий признак.</t>
        </is>
      </c>
    </row>
    <row r="18">
      <c r="A18" s="17" t="inlineStr">
        <is>
          <t>Отсутствующий тариф</t>
        </is>
      </c>
      <c r="B18" s="17" t="inlineStr">
        <is>
          <t>Нет товара или отдельной опции — вернуть вопрос. Нестандарт не создаёт цену СКУД, монтажа, доставки или новой модели.</t>
        </is>
      </c>
      <c r="C18" s="17" t="inlineStr">
        <is>
          <t>Рыночная цена и бесплатная опция не додумываются.</t>
        </is>
      </c>
    </row>
    <row r="19">
      <c r="A19" s="18" t="inlineStr">
        <is>
          <t>Код</t>
        </is>
      </c>
      <c r="B19" s="18" t="inlineStr">
        <is>
          <t>Использовать runtime/pricing.py, compile_catalog.py и data/catalog.json из комплекта. Денежные суммы в целых копейках.</t>
        </is>
      </c>
      <c r="C19" s="18" t="inlineStr">
        <is>
          <t>Арифметика выполняется обычным кодом.</t>
        </is>
      </c>
    </row>
    <row r="20">
      <c r="A20" s="17" t="inlineStr">
        <is>
          <t>Проверка</t>
        </is>
      </c>
      <c r="B20" s="17" t="inlineStr">
        <is>
          <t>Проверить 30% ровно, на 1 мм выше и ниже, обе оси, уменьшение и обычный стандарт.</t>
        </is>
      </c>
      <c r="C20" s="17" t="inlineStr">
        <is>
          <t>Полная задача и команды находятся в TASK_FOR_CLAUDE.md.</t>
        </is>
      </c>
    </row>
    <row r="21">
      <c r="A21" s="18" t="inlineStr">
        <is>
          <t>Новые тарифы</t>
        </is>
      </c>
      <c r="B21" s="18" t="inlineStr">
        <is>
          <t>Добавлены 6 моделей с рыночными базовыми ценами Москвы/МО и 6 позиций фурнитуры. Расчёт доставки исключён.</t>
        </is>
      </c>
      <c r="C21" s="18" t="inlineStr">
        <is>
          <t>Новые позиции рассчитываются предварительно с сохранением условий цены.</t>
        </is>
      </c>
    </row>
    <row r="22">
      <c r="A22" s="18" t="inlineStr">
        <is>
          <t>Фурнитура</t>
        </is>
      </c>
      <c r="B22" s="18" t="inlineStr">
        <is>
          <t>Поле options: ID тарифа и число упаковок/штук на одно изделие. Не начислять +30%/+100% на фурнитуру.</t>
        </is>
      </c>
      <c r="C22" s="18" t="inlineStr">
        <is>
          <t>Замок Punto уже включает ручки и цилиндр. Коробка готового блока включена.</t>
        </is>
      </c>
    </row>
    <row r="23">
      <c r="A23" s="18" t="inlineStr">
        <is>
          <t>Доставка</t>
        </is>
      </c>
      <c r="B23" s="18" t="inlineStr">
        <is>
          <t>Доставку не рассчитывать и не включать в стоимость КП.</t>
        </is>
      </c>
      <c r="C23" s="18" t="inlineStr">
        <is>
          <t>Доставка рассчитывается индивидуально.</t>
        </is>
      </c>
    </row>
    <row r="24">
      <c r="A24" s="18" t="inlineStr">
        <is>
          <t>Парный габарит</t>
        </is>
      </c>
      <c r="B24" s="18" t="inlineStr">
        <is>
          <t>overall_pair означает цену по общему габариту блока. Разбивка створок ещё требует проверки.</t>
        </is>
      </c>
      <c r="C24" s="18" t="inlineStr">
        <is>
          <t>Не обещать сертификат на 3000 мм и не считать его стандартом.</t>
        </is>
      </c>
    </row>
    <row r="25">
      <c r="A25" s="18" t="inlineStr">
        <is>
          <t>Маркировка</t>
        </is>
      </c>
      <c r="B25" s="18" t="inlineStr">
        <is>
          <t>Новые смысловые коды являются внутренними кодами поиска.</t>
        </is>
      </c>
      <c r="C25" s="18" t="inlineStr">
        <is>
          <t>Д1/Д8 и классы Мд3/М3 не превращать в характеристики без подтверждения.</t>
        </is>
      </c>
    </row>
    <row r="26">
      <c r="A26" s="18" t="inlineStr">
        <is>
          <t>Заявка Москва</t>
        </is>
      </c>
      <c r="B26" s="18" t="inlineStr">
        <is>
          <t>Проверено 136 строк: 60 дверей на трёх этажах, погонаж, артикулы фурнитуры и работы.</t>
        </is>
      </c>
      <c r="C26" s="18" t="inlineStr">
        <is>
          <t>Доставка, монтаж, установка доборов/доводчиков и разгрузка не оцениваются и не блокируют товарное КП.</t>
        </is>
      </c>
    </row>
    <row r="27">
      <c r="A27" s="18" t="inlineStr">
        <is>
          <t>Единицы погонажа</t>
        </is>
      </c>
      <c r="B27" s="18" t="inlineStr">
        <is>
          <t>Сохранять дробные количества 2,5/12,5/24,5/30,5 и исходную единицу продажи.</t>
        </is>
      </c>
      <c r="C27" s="18" t="inlineStr">
        <is>
          <t>Цену комплекта не применять за одну стойку. Не округлять количество.</t>
        </is>
      </c>
    </row>
    <row r="28">
      <c r="A28" s="18" t="inlineStr">
        <is>
          <t>Специальные исполнения</t>
        </is>
      </c>
      <c r="B28" s="18" t="inlineStr">
        <is>
          <t>ДПГУЧ 52 мм с обратной четвертью и АКВА 01 ПГ не заменять обычной ДПГ.</t>
        </is>
      </c>
      <c r="C28" s="18" t="inlineStr">
        <is>
          <t>Коды 45S3K/УПД не расшифровывать без подтверждения.</t>
        </is>
      </c>
    </row>
    <row r="29">
      <c r="A29" s="18" t="inlineStr">
        <is>
          <t>Точность комплекта</t>
        </is>
      </c>
      <c r="B29" s="18" t="inlineStr">
        <is>
          <t>Сопоставлять артикулы, материал, профиль, цвет, обработку и единицу.</t>
        </is>
      </c>
      <c r="C29" s="18" t="inlineStr">
        <is>
          <t>Кромка ПВХ не доказывает ПВХ-покрытие всего полотна.</t>
        </is>
      </c>
    </row>
    <row r="30">
      <c r="A30" s="18" t="inlineStr">
        <is>
          <t>Неполный расчёт</t>
        </is>
      </c>
      <c r="B30" s="18" t="inlineStr">
        <is>
          <t>Отсутствующая цена товара не равна нулю. Условный расчёт аналога не выдавать за полную сумму заказа.</t>
        </is>
      </c>
      <c r="C30" s="18" t="inlineStr">
        <is>
          <t>Монтаж и разгрузка уточняются у менеджера. Заводскую врезку проверять в составе изделия.</t>
        </is>
      </c>
    </row>
    <row r="31">
      <c r="A31" s="18" t="inlineStr">
        <is>
          <t>Санузловой блок ДС</t>
        </is>
      </c>
      <c r="B31" s="18" t="inlineStr">
        <is>
          <t>Для простого ДС 1 Рп/Рл Г предложен базовый INT-052: влагостойкий белый ДГ-1-Пульс.</t>
        </is>
      </c>
      <c r="C31" s="18" t="inlineStr">
        <is>
          <t>База 18020 + OPT-007 2780 + порог 1420 = 22220 руб. Без надбавки на три стандартных размера.</t>
        </is>
      </c>
    </row>
    <row r="32">
      <c r="A32" s="18" t="inlineStr">
        <is>
          <t>Размеры ДС</t>
        </is>
      </c>
      <c r="B32" s="18" t="inlineStr">
        <is>
          <t>700/800/900×2100 — стандартные заказные типоразмеры блока по проёму.</t>
        </is>
      </c>
      <c r="C32" s="18" t="inlineStr">
        <is>
          <t>Использовать сетку INT-052 с basis=opening. Не увеличивать цену за высоту 2100 относительно полотна 2000.</t>
        </is>
      </c>
    </row>
    <row r="33">
      <c r="A33" s="18" t="inlineStr">
        <is>
          <t>Пр, ПрБ и ЛБ</t>
        </is>
      </c>
      <c r="B33" s="18" t="inlineStr">
        <is>
          <t>Пр добавляет обычный порог; ПрБ исключает; По требует отдельного тарифа. ЛБ не расшифровывать.</t>
        </is>
      </c>
      <c r="C33" s="18" t="inlineStr">
        <is>
          <t>Для ЛБ предварительно предложить базовое исполнение с порогом и прямо указать допущение. Явную другую отделку автоматически не заменять.</t>
        </is>
      </c>
    </row>
    <row r="34">
      <c r="A34" s="18" t="inlineStr">
        <is>
          <t>Пятое письмо</t>
        </is>
      </c>
      <c r="B34" s="18" t="inlineStr">
        <is>
          <t>runtime/bathroom.py сохраняет все 5 строк и 14 блоков, марки и открывание.</t>
        </is>
      </c>
      <c r="C34" s="18" t="inlineStr">
        <is>
          <t>Предварительный итог 311080 руб., все 5 строк 0%. Сроки изготовления и адрес отгрузки уточняются у менеджера.</t>
        </is>
      </c>
    </row>
    <row r="35">
      <c r="A35" s="23" t="inlineStr">
        <is>
          <t>Письмо 686</t>
        </is>
      </c>
      <c r="B35" s="23" t="inlineStr">
        <is>
          <t>Полный предварительный расчёт: 16 строк, 686 блоков. 12 утверждённых сметных профилей.</t>
        </is>
      </c>
      <c r="C35" s="23" t="inlineStr">
        <is>
          <t>Использовать runtime/estimate.py. Данные из прайсов, размеры и допущения сохранять в результате.</t>
        </is>
      </c>
    </row>
    <row r="36">
      <c r="A36" s="21" t="inlineStr">
        <is>
          <t>Технический подбор</t>
        </is>
      </c>
      <c r="B36" s="21" t="inlineStr">
        <is>
          <t>requirements сохраняет все обязательные свойства клиента. Строгая проверка runtime/pricing.py не ослаблена.</t>
        </is>
      </c>
      <c r="C36" s="21" t="inlineStr">
        <is>
          <t>Сметный профиль оценивает предложенный состав, но не подтверждает сертификат или применимость конструкции.</t>
        </is>
      </c>
    </row>
    <row r="37">
      <c r="A37" s="23" t="inlineStr">
        <is>
          <t>МДФ и комплектация</t>
        </is>
      </c>
      <c r="B37" s="23" t="inlineStr">
        <is>
          <t>INT-054: база = INT-008 полотно + коробка. Наличники, добор и фурнитура отдельно.</t>
        </is>
      </c>
      <c r="C37" s="23" t="inlineStr">
        <is>
          <t>Мд1 и влагостойкость — требования заказа. В исходных данных выбранного изделия не подтверждены; в смете это явные допущения.</t>
        </is>
      </c>
    </row>
    <row r="38">
      <c r="A38" s="21" t="inlineStr">
        <is>
          <t>EIW и стекло</t>
        </is>
      </c>
      <c r="B38" s="21" t="inlineStr">
        <is>
          <t>OPT-019/020 — резерв полной замены стекла СМ4 EIW60/EIW30 по расчётной площади.</t>
        </is>
      </c>
      <c r="C38" s="21" t="inlineStr">
        <is>
          <t>Штатное стекло не вычиталось. Площадь выреза, изменения конструкции, огнестойкость всего блока и документы подтвердить.</t>
        </is>
      </c>
    </row>
    <row r="39">
      <c r="A39" s="23" t="inlineStr">
        <is>
          <t>Вентиляция</t>
        </is>
      </c>
      <c r="B39" s="23" t="inlineStr">
        <is>
          <t>OPT-018 — сметная оценка полного заводского узла EI30. MET-012 содержит вентиляцию в базе.</t>
        </is>
      </c>
      <c r="C39" s="23" t="inlineStr">
        <is>
          <t>Не дублировать вкладыш OPT-008 или вентиляцию MET-012. Самозаплавление, сечение и совместимость подтверждает производство.</t>
        </is>
      </c>
    </row>
    <row r="40">
      <c r="A40" s="21" t="inlineStr">
        <is>
          <t>Алюминиевые блоки</t>
        </is>
      </c>
      <c r="B40" s="21" t="inlineStr">
        <is>
          <t>ALU-003/004 неактивны: ориентир другого региона. ALU-005 и ALU-001 — предложенные аналоги; ALU-007 — расчётная тёплая база.</t>
        </is>
      </c>
      <c r="C40" s="21" t="inlineStr">
        <is>
          <t>Не переименовывать аналог в СИАЛ. СПД40, окраска, фрамуга и фурнитура заданы сметными профилями.</t>
        </is>
      </c>
    </row>
    <row r="41">
      <c r="A41" s="23" t="inlineStr">
        <is>
          <t>Подбор из XLSX</t>
        </is>
      </c>
      <c r="B41" s="23" t="inlineStr">
        <is>
          <t>Лист Подбор: синонимы, подтверждённые факты, примечания и условия цены. estimate_profiles — состав сметных комплектов.</t>
        </is>
      </c>
      <c r="C41" s="23" t="inlineStr">
        <is>
          <t>После правки обоих XLSX пересобрать data/catalog.json. Формулы составных цен — Дополнения, колонки M:O.</t>
        </is>
      </c>
    </row>
    <row r="42">
      <c r="A42" s="21" t="inlineStr">
        <is>
          <t>Размерные основания</t>
        </is>
      </c>
      <c r="B42" s="21" t="inlineStr">
        <is>
          <t>Исходные номиналы и размеры описания сохранять отдельно. Высота фрамуги 300 мм предложена только для сметы.</t>
        </is>
      </c>
      <c r="C42" s="21" t="inlineStr">
        <is>
          <t>Никакого универсального перевода проём → коробка → полотно. Строка 15: основной вариант 1050×2075, альтернатива 900×2100.</t>
        </is>
      </c>
    </row>
    <row r="43">
      <c r="A43" s="23" t="inlineStr">
        <is>
          <t>Отсутствующие цены</t>
        </is>
      </c>
      <c r="B43" s="23" t="inlineStr">
        <is>
          <t>OPT-009…017 оставлены неактивными составными запросами без точной заводской цены. Не подставлять 0.</t>
        </is>
      </c>
      <c r="C43" s="23" t="inlineStr">
        <is>
          <t>Для предварительной оценки использовать новые положительные тарифы и фиксированные профили, где есть полный оценённый состав.</t>
        </is>
      </c>
    </row>
    <row r="44">
      <c r="A44" s="21" t="inlineStr">
        <is>
          <t>Проверка 686</t>
        </is>
      </c>
      <c r="B44" s="21" t="inlineStr">
        <is>
          <t>Строгий запрос остаётся с уточнениями. Отдельный letter_686_estimate_input.json рассчитывает все 16 строк.</t>
        </is>
      </c>
      <c r="C44" s="21" t="inlineStr">
        <is>
          <t>Полный числовой итог предварительный. Сумма не заменяет согласование Мд1, влагостойкости, стекла, огнестойкости и спорных размеров.</t>
        </is>
      </c>
    </row>
    <row r="45">
      <c r="A45" s="23" t="inlineStr">
        <is>
          <t>Режим сметы</t>
        </is>
      </c>
      <c r="B45" s="23" t="inlineStr">
        <is>
          <t>Выбран владельцем прайса 17.10.2026: предварительная оценка по рыночной базе и комплектующим.</t>
        </is>
      </c>
      <c r="C45" s="23" t="inlineStr">
        <is>
          <t>В КП обязательно сохранить допущения и пометку об уточнении на производстве. Не выдавать за подтверждённую заводскую оферту.</t>
        </is>
      </c>
    </row>
    <row r="46">
      <c r="A46" s="21" t="inlineStr">
        <is>
          <t>Количество опций</t>
        </is>
      </c>
      <c r="B46" s="21" t="inlineStr">
        <is>
          <t>Штуки — положительное целое; м и м² — положительная десятичная строка до 6 знаков.</t>
        </is>
      </c>
      <c r="C46" s="21" t="inlineStr">
        <is>
          <t>Профиль сам рассчитывает площадь, длину и фурнитуру. Агент не может передавать цены или убирать обязательные опции.</t>
        </is>
      </c>
    </row>
    <row r="47">
      <c r="A47" s="23" t="inlineStr">
        <is>
          <t>Составные тарифы</t>
        </is>
      </c>
      <c r="B47" s="23" t="inlineStr">
        <is>
          <t>OPT-025 = 2 доводчика + 2 шпингалета + координатор. OPT-024 — разница двух цен W62.</t>
        </is>
      </c>
      <c r="C47" s="23" t="inlineStr">
        <is>
          <t>При изменении цены комплектующих пересчитать составные формулы и каталог. Не складывать комплект и его части.</t>
        </is>
      </c>
    </row>
    <row r="48">
      <c r="A48" s="21" t="inlineStr">
        <is>
          <t>Нестандарт</t>
        </is>
      </c>
      <c r="B48" s="21" t="inlineStr">
        <is>
          <t>Точный стандарт 0%. Любое отличие +30%; рост ширины или высоты строго более 30% — +100%.</t>
        </is>
      </c>
      <c r="C48" s="21" t="inlineStr">
        <is>
          <t>Надбавка только к базе, без сложения. Ровно 30% остаётся +30%. Всегда: Нестандартные позиции подлежат уточнению на производстве.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5" customWidth="1" min="1" max="1"/>
    <col width="11.67000007629395" customWidth="1" min="2" max="2"/>
    <col width="40.56000137329102" customWidth="1" min="3" max="3"/>
    <col width="12.77999973297119" customWidth="1" min="4" max="4"/>
    <col width="14.4399995803833" customWidth="1" min="5" max="5"/>
    <col width="14.4399995803833" customWidth="1" min="6" max="6"/>
    <col width="26.67000007629395" customWidth="1" min="7" max="7"/>
    <col width="75.55999755859375" customWidth="1" min="8" max="8"/>
    <col width="94.44000244140625" customWidth="1" min="9" max="9"/>
    <col width="54.43999862670898" customWidth="1" min="10" max="10"/>
    <col width="57" customWidth="1" min="13" max="13"/>
    <col width="18" customWidth="1" min="14" max="14"/>
    <col width="54" customWidth="1" min="15" max="15"/>
  </cols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14" t="inlineStr">
        <is>
          <t>Фурнитура. Рабочие тарифы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13" t="inlineStr">
        <is>
          <t>Количество фурнитуры задаётся на одно изделие. Надбавка за размер к ней не применяется.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>
      <c r="A5" s="16" t="inlineStr">
        <is>
          <t>ID тарифа</t>
        </is>
      </c>
      <c r="B5" s="16" t="inlineStr">
        <is>
          <t>Тип</t>
        </is>
      </c>
      <c r="C5" s="16" t="inlineStr">
        <is>
          <t>Наименование</t>
        </is>
      </c>
      <c r="D5" s="16" t="inlineStr">
        <is>
          <t>Единица</t>
        </is>
      </c>
      <c r="E5" s="16" t="inlineStr">
        <is>
          <t>Цена, руб.</t>
        </is>
      </c>
      <c r="F5" s="16" t="inlineStr">
        <is>
          <t>Статус</t>
        </is>
      </c>
      <c r="G5" s="16" t="inlineStr">
        <is>
          <t>Для моделей JSON</t>
        </is>
      </c>
      <c r="H5" s="16" t="inlineStr">
        <is>
          <t>Включено</t>
        </is>
      </c>
      <c r="I5" s="16" t="inlineStr">
        <is>
          <t>Уточнить</t>
        </is>
      </c>
      <c r="J5" s="16" t="inlineStr">
        <is>
          <t>Синонимы JSON</t>
        </is>
      </c>
    </row>
    <row r="6">
      <c r="A6" s="18" t="inlineStr">
        <is>
          <t>OPT-001</t>
        </is>
      </c>
      <c r="B6" s="18" t="inlineStr">
        <is>
          <t>option</t>
        </is>
      </c>
      <c r="C6" s="18" t="inlineStr">
        <is>
          <t>ECO SLIDING SET 1, до 60 кг</t>
        </is>
      </c>
      <c r="D6" s="18" t="inlineStr">
        <is>
          <t>piece</t>
        </is>
      </c>
      <c r="E6" s="29" t="n">
        <v>4200</v>
      </c>
      <c r="F6" s="18">
        <f>IF(ISNUMBER(E6),"priced","not_priced")</f>
        <v/>
      </c>
      <c r="G6" s="18" t="inlineStr">
        <is>
          <t>["INT-050"]</t>
        </is>
      </c>
      <c r="H6" s="18" t="inlineStr">
        <is>
          <t>Одна тарифная упаковка механизма для одной двери 500–1100 мм, до 60 кг.</t>
        </is>
      </c>
      <c r="I6" s="18" t="inlineStr">
        <is>
          <t>Подтвердить наличие направляющей нужной длины, креплений и нижнего поводка в выбранной поставке. Не считать один комплект роликов полной системой.</t>
        </is>
      </c>
      <c r="J6" s="18" t="inlineStr">
        <is>
          <t>["РМ-60","раздвижной механизм","откатной механизм","система купе"]</t>
        </is>
      </c>
    </row>
    <row r="7">
      <c r="A7" s="18" t="inlineStr">
        <is>
          <t>OPT-002</t>
        </is>
      </c>
      <c r="B7" s="18" t="inlineStr">
        <is>
          <t>option</t>
        </is>
      </c>
      <c r="C7" s="18" t="inlineStr">
        <is>
          <t>Armadillo SH010 URB SN-3, ручка-купе</t>
        </is>
      </c>
      <c r="D7" s="18" t="inlineStr">
        <is>
          <t>piece</t>
        </is>
      </c>
      <c r="E7" s="29" t="n">
        <v>1622</v>
      </c>
      <c r="F7" s="18">
        <f>IF(ISNUMBER(E7),"priced","not_priced")</f>
        <v/>
      </c>
      <c r="G7" s="18" t="inlineStr">
        <is>
          <t>["INT-050"]</t>
        </is>
      </c>
      <c r="H7" s="18" t="inlineStr">
        <is>
          <t>Одна тарифная упаковка врезной ручки-купе, матовый никель.</t>
        </is>
      </c>
      <c r="I7" s="18" t="inlineStr">
        <is>
          <t>Уточнить состав упаковки и требуемое число ручек на две стороны. Не удваивать цену автоматически.</t>
        </is>
      </c>
      <c r="J7" s="18" t="inlineStr">
        <is>
          <t>["РК-ВР","ручка купе","утопленная ручка","ручка для откатной двери"]</t>
        </is>
      </c>
    </row>
    <row r="8">
      <c r="A8" s="18" t="inlineStr">
        <is>
          <t>OPT-003</t>
        </is>
      </c>
      <c r="B8" s="18" t="inlineStr">
        <is>
          <t>option</t>
        </is>
      </c>
      <c r="C8" s="18" t="inlineStr">
        <is>
          <t>Punto LOCKSET16.CRONA.4070-1 SN</t>
        </is>
      </c>
      <c r="D8" s="18" t="inlineStr">
        <is>
          <t>piece</t>
        </is>
      </c>
      <c r="E8" s="29" t="n">
        <v>2124.54</v>
      </c>
      <c r="F8" s="18">
        <f>IF(ISNUMBER(E8),"priced","not_priced")</f>
        <v/>
      </c>
      <c r="G8" s="18" t="inlineStr">
        <is>
          <t>["INT-051","INT-053","INT-054"]</t>
        </is>
      </c>
      <c r="H8" s="18" t="inlineStr">
        <is>
          <t>Корпус врезного замка, цилиндр, ручки на планке, квадрат, ответная планка и крепёж.</t>
        </is>
      </c>
      <c r="I8" s="18" t="inlineStr">
        <is>
          <t>Для деревянных дверей до 40 мм. Не добавлять ручки и цилиндр повторно. Посадочные размеры и способ запирания подтвердить.</t>
        </is>
      </c>
      <c r="J8" s="18" t="inlineStr">
        <is>
          <t>["ЗВ-КТ-РЦ","врезной замок с ручками и цилиндром"]</t>
        </is>
      </c>
    </row>
    <row r="9">
      <c r="A9" s="18" t="inlineStr">
        <is>
          <t>OPT-004</t>
        </is>
      </c>
      <c r="B9" s="18" t="inlineStr">
        <is>
          <t>option</t>
        </is>
      </c>
      <c r="C9" s="18" t="inlineStr">
        <is>
          <t>Ajax RIM-200 code SN, кодовый накладной</t>
        </is>
      </c>
      <c r="D9" s="18" t="inlineStr">
        <is>
          <t>piece</t>
        </is>
      </c>
      <c r="E9" s="29" t="n">
        <v>5601.93</v>
      </c>
      <c r="F9" s="18">
        <f>IF(ISNUMBER(E9),"priced","not_priced")</f>
        <v/>
      </c>
      <c r="G9" s="18" t="inlineStr">
        <is>
          <t>["INT-051"]</t>
        </is>
      </c>
      <c r="H9" s="18" t="inlineStr">
        <is>
          <t>Накладной механический кодовый замок: кодовая панель снаружи, ручка с фиксатором внутри.</t>
        </is>
      </c>
      <c r="I9" s="18" t="inlineStr">
        <is>
          <t>Дверь 35–55 мм; автоматическая блокировка при захлопывании. Аварийное открывание именно ключом-вертушкой не подтверждено: согласовать, не подменять требование.</t>
        </is>
      </c>
      <c r="J9" s="18" t="inlineStr">
        <is>
          <t>["ЗН-КОД","накладной кодовый замок","механический кодовый замок"]</t>
        </is>
      </c>
    </row>
    <row r="10">
      <c r="A10" s="18" t="inlineStr">
        <is>
          <t>OPT-005</t>
        </is>
      </c>
      <c r="B10" s="18" t="inlineStr">
        <is>
          <t>option</t>
        </is>
      </c>
      <c r="C10" s="18" t="inlineStr">
        <is>
          <t>НОРА-М 3S мал., серый, арт. 4997</t>
        </is>
      </c>
      <c r="D10" s="18" t="inlineStr">
        <is>
          <t>piece</t>
        </is>
      </c>
      <c r="E10" s="29" t="n">
        <v>2631</v>
      </c>
      <c r="F10" s="18">
        <f>IF(ISNUMBER(E10),"priced","not_priced")</f>
        <v/>
      </c>
      <c r="G10" s="18" t="inlineStr">
        <is>
          <t>["INT-051","MET-007","MET-008"]</t>
        </is>
      </c>
      <c r="H10" s="18" t="inlineStr">
        <is>
          <t>Доводчик с малым рычагом, EN3-4; параметры по массе и ширине проверить.</t>
        </is>
      </c>
      <c r="I10" s="18" t="inlineStr">
        <is>
          <t>Серый близок к RAL 7004, это не RAL 7035. Точный цвет и наличие уточнить; не выдавать за исполнение RAL 7035.</t>
        </is>
      </c>
      <c r="J10" s="18" t="inlineStr">
        <is>
          <t>["ДВЧ-EN3/4-СЕР","доводчик серый","доводчик EN3 EN4"]</t>
        </is>
      </c>
    </row>
    <row r="11">
      <c r="A11" s="18" t="inlineStr">
        <is>
          <t>OPT-006</t>
        </is>
      </c>
      <c r="B11" s="18" t="inlineStr">
        <is>
          <t>option</t>
        </is>
      </c>
      <c r="C11" s="18" t="inlineStr">
        <is>
          <t>Петля IN4000U SN 100×70×2</t>
        </is>
      </c>
      <c r="D11" s="18" t="inlineStr">
        <is>
          <t>piece</t>
        </is>
      </c>
      <c r="E11" s="29" t="n">
        <v>123.54</v>
      </c>
      <c r="F11" s="18">
        <f>IF(ISNUMBER(E11),"priced","not_priced")</f>
        <v/>
      </c>
      <c r="G11" s="18" t="inlineStr">
        <is>
          <t>["INT-051","INT-053","INT-054"]</t>
        </is>
      </c>
      <c r="H11" s="18" t="inlineStr">
        <is>
          <t>Одна универсальная петля.</t>
        </is>
      </c>
      <c r="I11" s="18" t="inlineStr">
        <is>
          <t>Количество петель задаётся явно. При трёх петлях цена 370,62 руб.; несущая способность и врезка уточняются.</t>
        </is>
      </c>
      <c r="J11" s="18" t="inlineStr">
        <is>
          <t>["ПТ-УН","универсальная петля"]</t>
        </is>
      </c>
    </row>
    <row r="12">
      <c r="A12" s="18" t="inlineStr">
        <is>
          <t>OPT-007</t>
        </is>
      </c>
      <c r="B12" s="18" t="inlineStr">
        <is>
          <t>option</t>
        </is>
      </c>
      <c r="C12" s="18" t="inlineStr">
        <is>
          <t>Комплект фурнитуры ДГ-1-Пульс: замок, ручки, петли, цилиндр</t>
        </is>
      </c>
      <c r="D12" s="18" t="inlineStr">
        <is>
          <t>piece</t>
        </is>
      </c>
      <c r="E12" s="29" t="n">
        <v>2780</v>
      </c>
      <c r="F12" s="18">
        <f>IF(ISNUMBER(E12),"priced","not_priced")</f>
        <v/>
      </c>
      <c r="G12" s="18" t="inlineStr">
        <is>
          <t>["INT-052"]</t>
        </is>
      </c>
      <c r="H12" s="18" t="inlineStr">
        <is>
          <t>Один комплект: замок, гарнитур из нержавеющей стали, петли без врезки, цилиндр ключ/ключ.</t>
        </is>
      </c>
      <c r="I12" s="18" t="inlineStr">
        <is>
          <t>Комплект ключ/ключ — предложенный базовый вариант, не подтверждённая сантехническая завертка. Число петель, обработку и требуемый способ запирания согласовать. Ручки и цилиндр повторно не добавлять.</t>
        </is>
      </c>
      <c r="J12" s="18" t="inlineStr">
        <is>
          <t>["КТ-ФРН-ДГ1","комплект фурнитуры ДГ-1-Пульс"]</t>
        </is>
      </c>
    </row>
    <row r="13">
      <c r="A13" s="23" t="inlineStr">
        <is>
          <t>OPT-008</t>
        </is>
      </c>
      <c r="B13" s="23" t="inlineStr">
        <is>
          <t>option</t>
        </is>
      </c>
      <c r="C13" s="23" t="inlineStr">
        <is>
          <t>FIREFIX, огнестойкий вентиляционный вкладыш 100×100×40</t>
        </is>
      </c>
      <c r="D13" s="23" t="inlineStr">
        <is>
          <t>piece</t>
        </is>
      </c>
      <c r="E13" s="29" t="n">
        <v>1714</v>
      </c>
      <c r="F13" s="23">
        <f>IF(ISNUMBER(E13),"priced","not_priced")</f>
        <v/>
      </c>
      <c r="G13" s="23" t="inlineStr">
        <is>
          <t>["MET-005","MET-006"]</t>
        </is>
      </c>
      <c r="H13" s="23" t="inlineStr">
        <is>
          <t>Один интумесцентный вентиляционный вкладыш, 100×100×40 мм.</t>
        </is>
      </c>
      <c r="I13" s="23" t="inlineStr">
        <is>
          <t>Это только вкладыш, не готовая вентиляция в двери. Не включает наружные жалюзи, вырез, усиление и заводскую сборку. Для полного узла обязателен OPT-009; совместимость с дверью, свободное сечение и документы подтверждает производство.</t>
        </is>
      </c>
      <c r="J13" s="23" t="inlineStr">
        <is>
          <t>["ВР-СЗ-100-FIREFIX"]</t>
        </is>
      </c>
    </row>
    <row r="14">
      <c r="A14" s="30" t="inlineStr">
        <is>
          <t>OPT-009</t>
        </is>
      </c>
      <c r="B14" s="30" t="inlineStr">
        <is>
          <t>option</t>
        </is>
      </c>
      <c r="C14" s="30" t="inlineStr">
        <is>
          <t>Заводской узел самозаплавляющейся вентиляции: жалюзи, вырез, усиление, сборка</t>
        </is>
      </c>
      <c r="D14" s="30" t="inlineStr">
        <is>
          <t>piece</t>
        </is>
      </c>
      <c r="E14" s="29" t="n"/>
      <c r="F14" s="21">
        <f>IF(ISNUMBER(E14),"priced","not_priced")</f>
        <v/>
      </c>
      <c r="G14" s="21" t="inlineStr">
        <is>
          <t>["MET-005","MET-006"]</t>
        </is>
      </c>
      <c r="H14" s="21" t="inlineStr">
        <is>
          <t>Обработка и детали полного вентиляционного узла.</t>
        </is>
      </c>
      <c r="I14" s="21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Цена не опубликована. Вкладыш OPT-008 без этого тарифа не образует полное исполнение двери. Стоимость и допустимость конструкции уточнить на производстве. Это не монтаж двери на объекте.</t>
        </is>
      </c>
      <c r="J14" s="21" t="inlineStr">
        <is>
          <t>["СВ-ЗАВОД-УЗЕЛ"]</t>
        </is>
      </c>
    </row>
    <row r="15">
      <c r="A15" s="30" t="inlineStr">
        <is>
          <t>OPT-010</t>
        </is>
      </c>
      <c r="B15" s="30" t="inlineStr">
        <is>
          <t>option</t>
        </is>
      </c>
      <c r="C15" s="30" t="inlineStr">
        <is>
          <t>Стекло СМ4 в противопожарном блоке, подтверждение и изменение комплектации</t>
        </is>
      </c>
      <c r="D15" s="30" t="inlineStr">
        <is>
          <t>piece</t>
        </is>
      </c>
      <c r="E15" s="29" t="n"/>
      <c r="F15" s="23">
        <f>IF(ISNUMBER(E15),"priced","not_priced")</f>
        <v/>
      </c>
      <c r="G15" s="23" t="inlineStr">
        <is>
          <t>["MET-009","MET-010","MET-011"]</t>
        </is>
      </c>
      <c r="H15" s="23" t="inlineStr">
        <is>
          <t>Конкретное стекло и документы на требуемое исполнение.</t>
        </is>
      </c>
      <c r="I15" s="23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Публичной цены полного требуемого узла не найдено. EIW не доказывает СМ4. Не считать бесплатной опцией.</t>
        </is>
      </c>
      <c r="J15" s="23" t="inlineStr">
        <is>
          <t>["СТ-СМ4-ПП"]</t>
        </is>
      </c>
    </row>
    <row r="16">
      <c r="A16" s="30" t="inlineStr">
        <is>
          <t>OPT-011</t>
        </is>
      </c>
      <c r="B16" s="30" t="inlineStr">
        <is>
          <t>option</t>
        </is>
      </c>
      <c r="C16" s="30" t="inlineStr">
        <is>
          <t>EIW30: остекление до 50% и фрамуга вместо базового исполнения до 25%</t>
        </is>
      </c>
      <c r="D16" s="30" t="inlineStr">
        <is>
          <t>piece</t>
        </is>
      </c>
      <c r="E16" s="29" t="n"/>
      <c r="F16" s="21">
        <f>IF(ISNUMBER(E16),"priced","not_priced")</f>
        <v/>
      </c>
      <c r="G16" s="21" t="inlineStr">
        <is>
          <t>["MET-011"]</t>
        </is>
      </c>
      <c r="H16" s="21" t="inlineStr">
        <is>
          <t>Переработанное заводское исполнение EIW30 по проекту.</t>
        </is>
      </c>
      <c r="I16" s="21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Базовая цена MET-011 относится к остеклению до 25% без фрамуги. Цена изменённой конструкции и документы уточняются на производстве.</t>
        </is>
      </c>
      <c r="J16" s="21" t="inlineStr">
        <is>
          <t>["ДПСО-2-Ф-50-EIW30"]</t>
        </is>
      </c>
    </row>
    <row r="17">
      <c r="A17" s="30" t="inlineStr">
        <is>
          <t>OPT-012</t>
        </is>
      </c>
      <c r="B17" s="30" t="inlineStr">
        <is>
          <t>option</t>
        </is>
      </c>
      <c r="C17" s="30" t="inlineStr">
        <is>
          <t>СПД40 6М1зак-12-4М1-12-6Изак для алюминиевой двери</t>
        </is>
      </c>
      <c r="D17" s="30" t="inlineStr">
        <is>
          <t>piece</t>
        </is>
      </c>
      <c r="E17" s="29" t="n"/>
      <c r="F17" s="23">
        <f>IF(ISNUMBER(E17),"priced","not_priced")</f>
        <v/>
      </c>
      <c r="G17" s="23" t="inlineStr">
        <is>
          <t>["ALU-003","ALU-004","ALU-005"]</t>
        </is>
      </c>
      <c r="H17" s="23" t="inlineStr">
        <is>
          <t>Изменение заполнения на заданный стеклопакет.</t>
        </is>
      </c>
      <c r="I17" s="23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Опубликованные базовые цены не подтверждают эту формулу. В исходном письме одновременно написаны СПО40 и двухкамерный стеклопакет; сохранить формулу и уточнить обозначение.</t>
        </is>
      </c>
      <c r="J17" s="23" t="inlineStr">
        <is>
          <t>["СПД40-6ЗАК-12-4-12-6ИЗАК"]</t>
        </is>
      </c>
    </row>
    <row r="18">
      <c r="A18" s="30" t="inlineStr">
        <is>
          <t>OPT-013</t>
        </is>
      </c>
      <c r="B18" s="30" t="inlineStr">
        <is>
          <t>option</t>
        </is>
      </c>
      <c r="C18" s="30" t="inlineStr">
        <is>
          <t>RAL 7024 для алюминиевого блока вместо базового белого</t>
        </is>
      </c>
      <c r="D18" s="30" t="inlineStr">
        <is>
          <t>piece</t>
        </is>
      </c>
      <c r="E18" s="29" t="n"/>
      <c r="F18" s="21">
        <f>IF(ISNUMBER(E18),"priced","not_priced")</f>
        <v/>
      </c>
      <c r="G18" s="21" t="inlineStr">
        <is>
          <t>["ALU-003","ALU-004","ALU-005","ALU-006"]</t>
        </is>
      </c>
      <c r="H18" s="21" t="inlineStr">
        <is>
          <t>Окраска конкретного алюминиевого исполнения.</t>
        </is>
      </c>
      <c r="I18" s="21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Наличие RAL в палитре не доказывает включение цвета в базовую цену. Цена по согласованию.</t>
        </is>
      </c>
      <c r="J18" s="21" t="inlineStr">
        <is>
          <t>["АЛ-RAL7024"]</t>
        </is>
      </c>
    </row>
    <row r="19">
      <c r="A19" s="30" t="inlineStr">
        <is>
          <t>OPT-014</t>
        </is>
      </c>
      <c r="B19" s="30" t="inlineStr">
        <is>
          <t>option</t>
        </is>
      </c>
      <c r="C19" s="30" t="inlineStr">
        <is>
          <t>Фрамуга алюминиевого блока СИАЛ: изготовление и заполнение</t>
        </is>
      </c>
      <c r="D19" s="30" t="inlineStr">
        <is>
          <t>piece</t>
        </is>
      </c>
      <c r="E19" s="29" t="n"/>
      <c r="F19" s="23">
        <f>IF(ISNUMBER(E19),"priced","not_priced")</f>
        <v/>
      </c>
      <c r="G19" s="23" t="inlineStr">
        <is>
          <t>["ALU-003","ALU-004"]</t>
        </is>
      </c>
      <c r="H19" s="23" t="inlineStr">
        <is>
          <t>Фрамуга по проекту с нужным заполнением.</t>
        </is>
      </c>
      <c r="I19" s="23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Надбавка за общий размер не включает добавление фрамуги. Геометрия и цена узла уточняются на производстве.</t>
        </is>
      </c>
      <c r="J19" s="23" t="inlineStr">
        <is>
          <t>["АЛ-ФРАМУГА-ЗАВОД"]</t>
        </is>
      </c>
    </row>
    <row r="20">
      <c r="A20" s="30" t="inlineStr">
        <is>
          <t>OPT-015</t>
        </is>
      </c>
      <c r="B20" s="30" t="inlineStr">
        <is>
          <t>option</t>
        </is>
      </c>
      <c r="C20" s="30" t="inlineStr">
        <is>
          <t>Алюминиевый блок: порог, шпингалеты, координатор и доводчики по проекту</t>
        </is>
      </c>
      <c r="D20" s="30" t="inlineStr">
        <is>
          <t>piece</t>
        </is>
      </c>
      <c r="E20" s="29" t="n"/>
      <c r="F20" s="21">
        <f>IF(ISNUMBER(E20),"priced","not_priced")</f>
        <v/>
      </c>
      <c r="G20" s="21" t="inlineStr">
        <is>
          <t>["ALU-003","ALU-004","ALU-005"]</t>
        </is>
      </c>
      <c r="H20" s="21" t="inlineStr">
        <is>
          <t>Комплект дополнительных деталей по каждой створке.</t>
        </is>
      </c>
      <c r="I20" s="21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Точный состав, число доводчиков, масса створок и цена не установлены. Уже включённую фурнитуру повторно не считать. Монтаж на объекте не оценивается.</t>
        </is>
      </c>
      <c r="J20" s="21" t="inlineStr">
        <is>
          <t>["АЛ-ФРН-КОМПЛЕКТ"]</t>
        </is>
      </c>
    </row>
    <row r="21">
      <c r="A21" s="30" t="inlineStr">
        <is>
          <t>OPT-016</t>
        </is>
      </c>
      <c r="B21" s="30" t="inlineStr">
        <is>
          <t>option</t>
        </is>
      </c>
      <c r="C21" s="30" t="inlineStr">
        <is>
          <t>Алюминиевый блок: импост и замок ключ/завёртка</t>
        </is>
      </c>
      <c r="D21" s="30" t="inlineStr">
        <is>
          <t>piece</t>
        </is>
      </c>
      <c r="E21" s="29" t="n"/>
      <c r="F21" s="23">
        <f>IF(ISNUMBER(E21),"priced","not_priced")</f>
        <v/>
      </c>
      <c r="G21" s="23" t="inlineStr">
        <is>
          <t>["ALU-006"]</t>
        </is>
      </c>
      <c r="H21" s="23" t="inlineStr">
        <is>
          <t>Доработка глухого блока под импост и требуемое запирание.</t>
        </is>
      </c>
      <c r="I21" s="23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Цена изменённой конструкции не опубликована. Требуется проверка размеров и совместимости.</t>
        </is>
      </c>
      <c r="J21" s="23" t="inlineStr">
        <is>
          <t>["АЛ-Г-ИМПОСТ-КЛЗВ"]</t>
        </is>
      </c>
    </row>
    <row r="22">
      <c r="A22" s="30" t="inlineStr">
        <is>
          <t>OPT-017</t>
        </is>
      </c>
      <c r="B22" s="30" t="inlineStr">
        <is>
          <t>option</t>
        </is>
      </c>
      <c r="C22" s="30" t="inlineStr">
        <is>
          <t>Санузловой МДФ: влагостойкое исполнение и порог</t>
        </is>
      </c>
      <c r="D22" s="30" t="inlineStr">
        <is>
          <t>piece</t>
        </is>
      </c>
      <c r="E22" s="29" t="n"/>
      <c r="F22" s="21">
        <f>IF(ISNUMBER(E22),"priced","not_priced")</f>
        <v/>
      </c>
      <c r="G22" s="21" t="inlineStr">
        <is>
          <t>["INT-053"]</t>
        </is>
      </c>
      <c r="H22" s="21" t="inlineStr">
        <is>
          <t>Требуемое исполнение санузлового блока МДФ.</t>
        </is>
      </c>
      <c r="I22" s="21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Обычный МДФ автоматически не считается влагостойким. Порог INT-052 не переносить на другую модель. Тариф производства отсутствует.</t>
        </is>
      </c>
      <c r="J22" s="21" t="inlineStr">
        <is>
          <t>["ДС-МДФ-ВЛ-ПР"]</t>
        </is>
      </c>
    </row>
    <row r="23">
      <c r="A23" s="23" t="inlineStr">
        <is>
          <t>OPT-018</t>
        </is>
      </c>
      <c r="B23" s="23" t="inlineStr">
        <is>
          <t>option</t>
        </is>
      </c>
      <c r="C23" s="23" t="inlineStr">
        <is>
          <t>Полный огнестойкий вентиляционный узел, сметный ориентир</t>
        </is>
      </c>
      <c r="D23" s="23" t="inlineStr">
        <is>
          <t>piece</t>
        </is>
      </c>
      <c r="E23" s="29" t="n">
        <v>6500</v>
      </c>
      <c r="F23" s="23">
        <f>IF(ISNUMBER(E23),"priced","not_priced")</f>
        <v/>
      </c>
      <c r="G23" s="23" t="inlineStr">
        <is>
          <t>["MET-005","MET-006"]</t>
        </is>
      </c>
      <c r="H23" s="23" t="inlineStr">
        <is>
          <t>Один полный заводской вентиляционный узел в сметной оценке.</t>
        </is>
      </c>
      <c r="I23" s="23" t="inlineStr">
        <is>
          <t>Рыночный ориентир полного огнестойкого узла, не точная оферта на размер FIREFIX. Самозаплавляющееся заполнение, свободное сечение и совместимость подтверждает производство. Не добавлять OPT-008/009 повторно.</t>
        </is>
      </c>
      <c r="J23" s="23" t="inlineStr">
        <is>
          <t>["СВ-УЗЕЛ-СМЕТА"]</t>
        </is>
      </c>
    </row>
    <row r="24">
      <c r="A24" s="21" t="inlineStr">
        <is>
          <t>OPT-019</t>
        </is>
      </c>
      <c r="B24" s="21" t="inlineStr">
        <is>
          <t>option</t>
        </is>
      </c>
      <c r="C24" s="21" t="inlineStr">
        <is>
          <t>СМ4 EIW60, резерв на полную замену стекла</t>
        </is>
      </c>
      <c r="D24" s="21" t="inlineStr">
        <is>
          <t>m2</t>
        </is>
      </c>
      <c r="E24" s="29" t="n">
        <v>9900</v>
      </c>
      <c r="F24" s="21">
        <f>IF(ISNUMBER(E24),"priced","not_priced")</f>
        <v/>
      </c>
      <c r="G24" s="21" t="inlineStr">
        <is>
          <t>["MET-009","MET-010"]</t>
        </is>
      </c>
      <c r="H24" s="21" t="inlineStr">
        <is>
          <t>Стекло EIW60/СМ4 по площади.</t>
        </is>
      </c>
      <c r="I24" s="21" t="inlineStr">
        <is>
          <t>Резерв на полную замену остекления. В смете используется верхняя оценка 25% общей площади блока; стоимость штатного стекла не вычиталась, поскольку не раскрыта. Это запас, а не доплата производителя за класс СМ4. Применимость стекла в двери и стоимость изменения проёмов подтвердить.</t>
        </is>
      </c>
      <c r="J24" s="21" t="inlineStr">
        <is>
          <t>["СТ-СМ4-EIW60-РЕЗЕРВ"]</t>
        </is>
      </c>
    </row>
    <row r="25">
      <c r="A25" s="23" t="inlineStr">
        <is>
          <t>OPT-020</t>
        </is>
      </c>
      <c r="B25" s="23" t="inlineStr">
        <is>
          <t>option</t>
        </is>
      </c>
      <c r="C25" s="23" t="inlineStr">
        <is>
          <t>СМ4 EIW30, резерв на полную замену стекла</t>
        </is>
      </c>
      <c r="D25" s="23" t="inlineStr">
        <is>
          <t>m2</t>
        </is>
      </c>
      <c r="E25" s="29" t="n">
        <v>8700</v>
      </c>
      <c r="F25" s="23">
        <f>IF(ISNUMBER(E25),"priced","not_priced")</f>
        <v/>
      </c>
      <c r="G25" s="23" t="inlineStr">
        <is>
          <t>["MET-011"]</t>
        </is>
      </c>
      <c r="H25" s="23" t="inlineStr">
        <is>
          <t>Стекло EIW30/СМ4 по площади.</t>
        </is>
      </c>
      <c r="I25" s="23" t="inlineStr">
        <is>
          <t>Резерв по 50% общей площади блока, без зачёта нераскрытой цены штатного стекла. Не заявлять этот резерв точной заводской доплатой с 25% на 50%. Изменение конструкции и сертификацию уточнить.</t>
        </is>
      </c>
      <c r="J25" s="23" t="inlineStr">
        <is>
          <t>["СТ-СМ4-EIW30-РЕЗЕРВ"]</t>
        </is>
      </c>
    </row>
    <row r="26">
      <c r="A26" s="21" t="inlineStr">
        <is>
          <t>OPT-021</t>
        </is>
      </c>
      <c r="B26" s="21" t="inlineStr">
        <is>
          <t>option</t>
        </is>
      </c>
      <c r="C26" s="21" t="inlineStr">
        <is>
          <t>Верхняя глухая стальная фрамуга, сметный ориентир</t>
        </is>
      </c>
      <c r="D26" s="21" t="inlineStr">
        <is>
          <t>piece</t>
        </is>
      </c>
      <c r="E26" s="29" t="n">
        <v>3000</v>
      </c>
      <c r="F26" s="21">
        <f>IF(ISNUMBER(E26),"priced","not_priced")</f>
        <v/>
      </c>
      <c r="G26" s="21" t="inlineStr">
        <is>
          <t>["MET-011"]</t>
        </is>
      </c>
      <c r="H26" s="21" t="inlineStr">
        <is>
          <t>Один глухой верхний элемент в предварительной оценке.</t>
        </is>
      </c>
      <c r="I26" s="21" t="inlineStr">
        <is>
          <t>Ориентир верхней/боковой вставки в Москве. Для сметы принята глухая фрамуга высотой 300 мм; огнестойкое исполнение, узлы сопряжения и цена подтверждаются производством. Это не монтаж на объекте.</t>
        </is>
      </c>
      <c r="J26" s="21" t="inlineStr">
        <is>
          <t>["ФР-СТ-Г-СМЕТА"]</t>
        </is>
      </c>
    </row>
    <row r="27">
      <c r="A27" s="23" t="inlineStr">
        <is>
          <t>OPT-022</t>
        </is>
      </c>
      <c r="B27" s="23" t="inlineStr">
        <is>
          <t>option</t>
        </is>
      </c>
      <c r="C27" s="23" t="inlineStr">
        <is>
          <t>СПД40 6М1зак-12-4М1-12-6Изак, изготовление</t>
        </is>
      </c>
      <c r="D27" s="23" t="inlineStr">
        <is>
          <t>m2</t>
        </is>
      </c>
      <c r="E27" s="29">
        <f>N44+(N46-N47)/N48*N49+N50+N51</f>
        <v/>
      </c>
      <c r="F27" s="23">
        <f>IF(ISNUMBER(E27),"priced","not_priced")</f>
        <v/>
      </c>
      <c r="G27" s="23" t="inlineStr">
        <is>
          <t>["ALU-001","ALU-002","ALU-005","ALU-006","ALU-007"]</t>
        </is>
      </c>
      <c r="H27" s="23" t="inlineStr">
        <is>
          <t>Новый двухкамерный стеклопакет 40 мм заданной формулы.</t>
        </is>
      </c>
      <c r="I27" s="23" t="inlineStr">
        <is>
          <t>Расчёт тарифа: 2650+4×30+1510+2150=6430 руб./м². Для сметы площадь взята по полному габариту блока с запасом, без вычета профиля. Существующее стекло не зачтено, так как его цена не раскрыта. Это резерв на полную замену, не чистая доплата к СПД32. Карта стёкол и минимальные площади уточняются.</t>
        </is>
      </c>
      <c r="J27" s="23" t="inlineStr">
        <is>
          <t>["СПД40-6ЗАК-4-6ИЗАК"]</t>
        </is>
      </c>
    </row>
    <row r="28">
      <c r="A28" s="21" t="inlineStr">
        <is>
          <t>OPT-023</t>
        </is>
      </c>
      <c r="B28" s="21" t="inlineStr">
        <is>
          <t>option</t>
        </is>
      </c>
      <c r="C28" s="21" t="inlineStr">
        <is>
          <t>Порошковая окраска нового алюминиевого профиля RAL 7024</t>
        </is>
      </c>
      <c r="D28" s="21" t="inlineStr">
        <is>
          <t>m</t>
        </is>
      </c>
      <c r="E28" s="29" t="n">
        <v>130</v>
      </c>
      <c r="F28" s="21">
        <f>IF(ISNUMBER(E28),"priced","not_priced")</f>
        <v/>
      </c>
      <c r="G28" s="21" t="inlineStr">
        <is>
          <t>["ALU-001","ALU-002","ALU-005","ALU-006","ALU-007"]</t>
        </is>
      </c>
      <c r="H28" s="21" t="inlineStr">
        <is>
          <t>Окраска нового профиля по расчётной длине.</t>
        </is>
      </c>
      <c r="I28" s="21" t="inlineStr">
        <is>
          <t>Тариф для профиля с одной стороной сечения 50–100 мм. Длина в смете оценена по периметрам коробки, створок и импостам, без карты раскроя. Не применять к перекраске собранного блока. Окраска базового белого исполнения отдельно не вычиталась.</t>
        </is>
      </c>
      <c r="J28" s="21" t="inlineStr">
        <is>
          <t>["RAL7024-ПРОФ-130"]</t>
        </is>
      </c>
    </row>
    <row r="29">
      <c r="A29" s="23" t="inlineStr">
        <is>
          <t>OPT-024</t>
        </is>
      </c>
      <c r="B29" s="23" t="inlineStr">
        <is>
          <t>option</t>
        </is>
      </c>
      <c r="C29" s="23" t="inlineStr">
        <is>
          <t>Тёплая алюминиевая фрамуга, расчётный тариф по ширине</t>
        </is>
      </c>
      <c r="D29" s="23" t="inlineStr">
        <is>
          <t>m</t>
        </is>
      </c>
      <c r="E29" s="29">
        <f>(N53-N54)/(N55/1000)</f>
        <v/>
      </c>
      <c r="F29" s="23">
        <f>IF(ISNUMBER(E29),"priced","not_priced")</f>
        <v/>
      </c>
      <c r="G29" s="23" t="inlineStr">
        <is>
          <t>["ALU-001","ALU-002"]</t>
        </is>
      </c>
      <c r="H29" s="23" t="inlineStr">
        <is>
          <t>Дополнительная верхняя секция высотой 500 мм в ценовом эталоне.</t>
        </is>
      </c>
      <c r="I29" s="23" t="inlineStr">
        <is>
          <t>Расчётный ориентир: (91600−72300)/1,0=19300 руб./м ширины по двум московским предложениям W62 1000×2600 и 1000×2100. Для проекта принята высота 300 мм; тариф сохранён с запасом. Это аналоговый сметный расчёт, не отдельный тариф завода СИАЛ. Не добавлять к ALU-005, где фрамуга уже в базе.</t>
        </is>
      </c>
      <c r="J29" s="23" t="inlineStr">
        <is>
          <t>["ФР-АЛ-Т-СМЕТА"]</t>
        </is>
      </c>
    </row>
    <row r="30">
      <c r="A30" s="21" t="inlineStr">
        <is>
          <t>OPT-025</t>
        </is>
      </c>
      <c r="B30" s="21" t="inlineStr">
        <is>
          <t>option</t>
        </is>
      </c>
      <c r="C30" s="21" t="inlineStr">
        <is>
          <t>Дополнительная фурнитура двупольного алюминиевого блока</t>
        </is>
      </c>
      <c r="D30" s="21" t="inlineStr">
        <is>
          <t>piece</t>
        </is>
      </c>
      <c r="E30" s="29">
        <f>2*E34+2*E35+E36</f>
        <v/>
      </c>
      <c r="F30" s="21">
        <f>IF(ISNUMBER(E30),"priced","not_priced")</f>
        <v/>
      </c>
      <c r="G30" s="21" t="inlineStr">
        <is>
          <t>["ALU-005"]</t>
        </is>
      </c>
      <c r="H30" s="21" t="inlineStr">
        <is>
          <t>Два доводчика, два врезных шпингалета и один координатор.</t>
        </is>
      </c>
      <c r="I30" s="21" t="inlineStr">
        <is>
          <t>8000+879,28+3550=12429,28 руб. Базовые петли, ручки, замок и порог приняты в составе целого блока как сметное допущение, их состав подтвердить. Монтаж фурнитуры на объекте не включён. Черный цвет аксессуаров предложен для сметы, это не покраска всех деталей в RAL7024.</t>
        </is>
      </c>
      <c r="J30" s="21" t="inlineStr">
        <is>
          <t>["ФРН-АЛ-2-ДВЧ-ШП-КООР"]</t>
        </is>
      </c>
    </row>
    <row r="31">
      <c r="A31" s="23" t="inlineStr">
        <is>
          <t>OPT-026</t>
        </is>
      </c>
      <c r="B31" s="23" t="inlineStr">
        <is>
          <t>option</t>
        </is>
      </c>
      <c r="C31" s="23" t="inlineStr">
        <is>
          <t>Цилиндр Apecs SC-70-C-NI, ключ/завёртка</t>
        </is>
      </c>
      <c r="D31" s="23" t="inlineStr">
        <is>
          <t>piece</t>
        </is>
      </c>
      <c r="E31" s="29" t="n">
        <v>1070</v>
      </c>
      <c r="F31" s="23">
        <f>IF(ISNUMBER(E31),"priced","not_priced")</f>
        <v/>
      </c>
      <c r="G31" s="23" t="inlineStr">
        <is>
          <t>["ALU-007"]</t>
        </is>
      </c>
      <c r="H31" s="23" t="inlineStr">
        <is>
          <t>Один новый цилиндр ключ/завёртка.</t>
        </is>
      </c>
      <c r="I31" s="23" t="inlineStr">
        <is>
          <t>Ценовой эталон 70 мм (35/35). Фактическую длину, посадку и цвет согласовать. Замок и ручки повторно не добавляются: для сметы они приняты в базе блока.</t>
        </is>
      </c>
      <c r="J31" s="23" t="inlineStr">
        <is>
          <t>["ЦИЛ-КЛ-ЗВ-70"]</t>
        </is>
      </c>
    </row>
    <row r="32">
      <c r="A32" s="21" t="inlineStr">
        <is>
          <t>OPT-027</t>
        </is>
      </c>
      <c r="B32" s="21" t="inlineStr">
        <is>
          <t>option</t>
        </is>
      </c>
      <c r="C32" s="21" t="inlineStr">
        <is>
          <t>Цилиндр ключ/ключ, ценовой эталон Apecs SM-60-AB</t>
        </is>
      </c>
      <c r="D32" s="21" t="inlineStr">
        <is>
          <t>piece</t>
        </is>
      </c>
      <c r="E32" s="29" t="n">
        <v>1210</v>
      </c>
      <c r="F32" s="21">
        <f>IF(ISNUMBER(E32),"priced","not_priced")</f>
        <v/>
      </c>
      <c r="G32" s="21" t="inlineStr">
        <is>
          <t>["MET-005","MET-006","MET-009","MET-010","MET-011","MET-012","MET-013"]</t>
        </is>
      </c>
      <c r="H32" s="21" t="inlineStr">
        <is>
          <t>Один новый цилиндр ключ/ключ.</t>
        </is>
      </c>
      <c r="I32" s="21" t="inlineStr">
        <is>
          <t>Сметный ценовой эталон 60 мм, бронза. Длину, цвет и совместимость с конкретным противопожарным замком подтвердить. Не выдавать эту позицию за согласованный артикул на конкретную дверь. Цена штатного цилиндра не зачтена, так как не раскрыта.</t>
        </is>
      </c>
      <c r="J32" s="21" t="inlineStr">
        <is>
          <t>["ЦИЛ-КЛ-КЛ-СМЕТА"]</t>
        </is>
      </c>
    </row>
    <row r="33">
      <c r="A33" s="23" t="inlineStr">
        <is>
          <t>OPT-028</t>
        </is>
      </c>
      <c r="B33" s="23" t="inlineStr">
        <is>
          <t>option</t>
        </is>
      </c>
      <c r="C33" s="23" t="inlineStr">
        <is>
          <t>Punto METEOR, ручки с защёлкой без запирания</t>
        </is>
      </c>
      <c r="D33" s="23" t="inlineStr">
        <is>
          <t>piece</t>
        </is>
      </c>
      <c r="E33" s="29" t="n">
        <v>723</v>
      </c>
      <c r="F33" s="23">
        <f>IF(ISNUMBER(E33),"priced","not_priced")</f>
        <v/>
      </c>
      <c r="G33" s="23" t="inlineStr">
        <is>
          <t>["INT-054"]</t>
        </is>
      </c>
      <c r="H33" s="23" t="inlineStr">
        <is>
          <t>Две нажимные ручки и защёлка без ключа/фиксатора.</t>
        </is>
      </c>
      <c r="I33" s="23" t="inlineStr">
        <is>
          <t>Опубликованный ценовой ориентир; у продавца нет в наличии. Это бюджет на комплект, срок и цену доступного аналога подтвердить. Не добавлять одновременно полный замковый комплект OPT-003.</t>
        </is>
      </c>
      <c r="J33" s="23" t="inlineStr">
        <is>
          <t>["РЧ-ЗЩ-БЕЗ-ЗАП"]</t>
        </is>
      </c>
    </row>
    <row r="34">
      <c r="A34" s="21" t="inlineStr">
        <is>
          <t>OPT-029</t>
        </is>
      </c>
      <c r="B34" s="21" t="inlineStr">
        <is>
          <t>option</t>
        </is>
      </c>
      <c r="C34" s="21" t="inlineStr">
        <is>
          <t>Доводчик алюминиевой двери, сметный ценовой ориентир</t>
        </is>
      </c>
      <c r="D34" s="21" t="inlineStr">
        <is>
          <t>piece</t>
        </is>
      </c>
      <c r="E34" s="29" t="n">
        <v>4000</v>
      </c>
      <c r="F34" s="21">
        <f>IF(ISNUMBER(E34),"priced","not_priced")</f>
        <v/>
      </c>
      <c r="G34" s="21" t="inlineStr">
        <is>
          <t>["ALU-001","ALU-002","ALU-005","ALU-006","ALU-007"]</t>
        </is>
      </c>
      <c r="H34" s="21" t="inlineStr">
        <is>
          <t>Один доводчик без установки на объекте.</t>
        </is>
      </c>
      <c r="I34" s="21" t="inlineStr">
        <is>
          <t>Ценовой ориентир из московского предложения алюминиевого блока. Нагрузку, ширину створки, бренд и цвет согласовать. Не добавлять отдельно к комплекту OPT-025.</t>
        </is>
      </c>
      <c r="J34" s="21" t="inlineStr">
        <is>
          <t>["ДВЧ-АЛ-СМЕТА"]</t>
        </is>
      </c>
    </row>
    <row r="35">
      <c r="A35" s="23" t="inlineStr">
        <is>
          <t>OPT-030</t>
        </is>
      </c>
      <c r="B35" s="23" t="inlineStr">
        <is>
          <t>option</t>
        </is>
      </c>
      <c r="C35" s="23" t="inlineStr">
        <is>
          <t>ELEMENTIS ELM0451, врезной шпингалет чёрный</t>
        </is>
      </c>
      <c r="D35" s="23" t="inlineStr">
        <is>
          <t>piece</t>
        </is>
      </c>
      <c r="E35" s="29" t="n">
        <v>439.64</v>
      </c>
      <c r="F35" s="23">
        <f>IF(ISNUMBER(E35),"priced","not_priced")</f>
        <v/>
      </c>
      <c r="G35" s="23" t="inlineStr">
        <is>
          <t>["ALU-001","ALU-002","ALU-005","ALU-006","ALU-007"]</t>
        </is>
      </c>
      <c r="H35" s="23" t="inlineStr">
        <is>
          <t>Один шпингалет с ответной планкой и крепежом.</t>
        </is>
      </c>
      <c r="I35" s="23" t="inlineStr">
        <is>
          <t>Для двупольного блока в смете приняты два шпингалета. Артикул, посадку и цвет согласовать. Не добавлять отдельно к OPT-025.</t>
        </is>
      </c>
      <c r="J35" s="23" t="inlineStr">
        <is>
          <t>["ШП-АЛ-ВР-ЧЕРН"]</t>
        </is>
      </c>
    </row>
    <row r="36">
      <c r="A36" s="21" t="inlineStr">
        <is>
          <t>OPT-031</t>
        </is>
      </c>
      <c r="B36" s="21" t="inlineStr">
        <is>
          <t>option</t>
        </is>
      </c>
      <c r="C36" s="21" t="inlineStr">
        <is>
          <t>Координатор Синхрон KCK0001.06, чёрный</t>
        </is>
      </c>
      <c r="D36" s="21" t="inlineStr">
        <is>
          <t>piece</t>
        </is>
      </c>
      <c r="E36" s="29" t="n">
        <v>3550</v>
      </c>
      <c r="F36" s="21">
        <f>IF(ISNUMBER(E36),"priced","not_priced")</f>
        <v/>
      </c>
      <c r="G36" s="21" t="inlineStr">
        <is>
          <t>["ALU-001","ALU-002","ALU-005","ALU-006","ALU-007"]</t>
        </is>
      </c>
      <c r="H36" s="21" t="inlineStr">
        <is>
          <t>Один координатор очередности закрывания.</t>
        </is>
      </c>
      <c r="I36" s="21" t="inlineStr">
        <is>
          <t>Сметная оценка совместимости с выбранным блоком; материал и геометрию профиля подтвердить. У продавца цена обозначена без НДС; в общей смете налог отдельно не начислялся. Не добавлять к OPT-025 повторно.</t>
        </is>
      </c>
      <c r="J36" s="21" t="inlineStr">
        <is>
          <t>["КООР-АЛ-СИНХРОН"]</t>
        </is>
      </c>
    </row>
    <row r="37">
      <c r="B37" s="31" t="inlineStr">
        <is>
          <t>Доставка рассчитывается индивидуально.</t>
        </is>
      </c>
      <c r="C37" s="31" t="n"/>
      <c r="D37" s="31" t="n"/>
      <c r="E37" s="31" t="n"/>
      <c r="F37" s="31" t="n"/>
      <c r="G37" s="31" t="n"/>
      <c r="H37" s="31" t="n"/>
      <c r="I37" s="31" t="n"/>
      <c r="J37" s="31" t="n"/>
    </row>
    <row r="38">
      <c r="B38" s="31" t="inlineStr">
        <is>
          <t>Монтаж и разгрузка уточняются у менеджера.</t>
        </is>
      </c>
      <c r="C38" s="31" t="n"/>
      <c r="D38" s="31" t="n"/>
      <c r="E38" s="31" t="n"/>
      <c r="F38" s="31" t="n"/>
      <c r="G38" s="31" t="n"/>
      <c r="H38" s="31" t="n"/>
      <c r="I38" s="31" t="n"/>
      <c r="J38" s="31" t="n"/>
    </row>
    <row r="39">
      <c r="B39" s="31" t="inlineStr">
        <is>
          <t>Сметные тарифы OPT-018…031 применяются только в предварительной оценке. Точные характеристики подтверждает производство.</t>
        </is>
      </c>
      <c r="C39" s="31" t="n"/>
      <c r="D39" s="31" t="n"/>
      <c r="E39" s="31" t="n"/>
      <c r="F39" s="31" t="n"/>
      <c r="G39" s="31" t="n"/>
      <c r="H39" s="31" t="n"/>
      <c r="I39" s="31" t="n"/>
      <c r="J39" s="31" t="n"/>
    </row>
    <row r="40"/>
    <row r="41">
      <c r="M41" s="32" t="inlineStr">
        <is>
          <t>Расчёт составных цен</t>
        </is>
      </c>
      <c r="N41" s="32" t="inlineStr">
        <is>
          <t>Значение</t>
        </is>
      </c>
      <c r="O41" s="32" t="inlineStr">
        <is>
          <t>Единица / условие</t>
        </is>
      </c>
    </row>
    <row r="42"/>
    <row r="43"/>
    <row r="44">
      <c r="M44" s="31" t="inlineStr">
        <is>
          <t>Обычный двухкамерный пакет</t>
        </is>
      </c>
      <c r="N44" s="33" t="n">
        <v>2650</v>
      </c>
      <c r="O44" s="31" t="inlineStr">
        <is>
          <t>руб./м², эталон 24–32 мм</t>
        </is>
      </c>
    </row>
    <row r="45">
      <c r="N45" s="34" t="n"/>
    </row>
    <row r="46">
      <c r="M46" s="31" t="inlineStr">
        <is>
          <t>Требуемая толщина пакета</t>
        </is>
      </c>
      <c r="N46" s="33" t="n">
        <v>40</v>
      </c>
      <c r="O46" s="31" t="inlineStr">
        <is>
          <t>мм</t>
        </is>
      </c>
    </row>
    <row r="47">
      <c r="M47" s="31" t="inlineStr">
        <is>
          <t>Базовая толщина</t>
        </is>
      </c>
      <c r="N47" s="33" t="n">
        <v>32</v>
      </c>
      <c r="O47" s="31" t="inlineStr">
        <is>
          <t>мм</t>
        </is>
      </c>
    </row>
    <row r="48">
      <c r="M48" s="31" t="inlineStr">
        <is>
          <t>Шаг повышения толщины</t>
        </is>
      </c>
      <c r="N48" s="33" t="n">
        <v>2</v>
      </c>
      <c r="O48" s="31" t="inlineStr">
        <is>
          <t>мм</t>
        </is>
      </c>
    </row>
    <row r="49">
      <c r="M49" s="31" t="inlineStr">
        <is>
          <t>Доплата за шаг</t>
        </is>
      </c>
      <c r="N49" s="33" t="n">
        <v>30</v>
      </c>
      <c r="O49" s="31" t="inlineStr">
        <is>
          <t>руб./м²</t>
        </is>
      </c>
    </row>
    <row r="50">
      <c r="M50" s="31" t="inlineStr">
        <is>
          <t>Стекло 6 мм закалённое</t>
        </is>
      </c>
      <c r="N50" s="33" t="n">
        <v>1510</v>
      </c>
      <c r="O50" s="31" t="inlineStr">
        <is>
          <t>руб./м², замена одного стекла</t>
        </is>
      </c>
    </row>
    <row r="51">
      <c r="M51" s="31" t="inlineStr">
        <is>
          <t>Стекло 6И закалённое</t>
        </is>
      </c>
      <c r="N51" s="33" t="n">
        <v>2150</v>
      </c>
      <c r="O51" s="31" t="inlineStr">
        <is>
          <t>руб./м², замена одного стекла</t>
        </is>
      </c>
    </row>
    <row r="52">
      <c r="N52" s="34" t="n"/>
    </row>
    <row r="53">
      <c r="M53" s="31" t="inlineStr">
        <is>
          <t>W62 с верхней секцией 1000×2600</t>
        </is>
      </c>
      <c r="N53" s="33" t="n">
        <v>91600</v>
      </c>
      <c r="O53" s="31" t="inlineStr">
        <is>
          <t>руб., аналоговый ориентир</t>
        </is>
      </c>
    </row>
    <row r="54">
      <c r="M54" s="31" t="inlineStr">
        <is>
          <t>W62 без верхней секции 1000×2100</t>
        </is>
      </c>
      <c r="N54" s="33" t="n">
        <v>72300</v>
      </c>
      <c r="O54" s="31" t="inlineStr">
        <is>
          <t>руб., аналоговый ориентир</t>
        </is>
      </c>
    </row>
    <row r="55">
      <c r="M55" s="31" t="inlineStr">
        <is>
          <t>Ширина эталона верхней секции</t>
        </is>
      </c>
      <c r="N55" s="33" t="n">
        <v>1000</v>
      </c>
      <c r="O55" s="31" t="inlineStr">
        <is>
          <t>мм</t>
        </is>
      </c>
    </row>
    <row r="56">
      <c r="M56" s="31" t="inlineStr">
        <is>
          <t>Высота секции эталона</t>
        </is>
      </c>
      <c r="N56" s="33" t="n">
        <v>500</v>
      </c>
      <c r="O56" s="31" t="inlineStr">
        <is>
          <t>мм; в проектной смете предложено 300 мм</t>
        </is>
      </c>
    </row>
    <row r="57">
      <c r="N57" s="34" t="n"/>
    </row>
    <row r="58">
      <c r="M58" s="31" t="inlineStr">
        <is>
          <t>Тёплый алюминиевый блок</t>
        </is>
      </c>
      <c r="N58" s="33" t="n">
        <v>20000</v>
      </c>
      <c r="O58" s="31" t="inlineStr">
        <is>
          <t>руб./м², сметный ориентир</t>
        </is>
      </c>
    </row>
    <row r="59">
      <c r="M59" s="31" t="inlineStr">
        <is>
          <t>Ширина эталона ALU-007</t>
        </is>
      </c>
      <c r="N59" s="33" t="n">
        <v>900</v>
      </c>
      <c r="O59" s="31" t="inlineStr">
        <is>
          <t>мм</t>
        </is>
      </c>
    </row>
    <row r="60">
      <c r="M60" s="31" t="inlineStr">
        <is>
          <t>Высота эталона ALU-007</t>
        </is>
      </c>
      <c r="N60" s="33" t="n">
        <v>2100</v>
      </c>
      <c r="O60" s="31" t="inlineStr">
        <is>
          <t>мм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65" customWidth="1" min="2" max="2"/>
    <col width="90" customWidth="1" min="3" max="3"/>
    <col width="110" customWidth="1" min="4" max="4"/>
    <col width="100" customWidth="1" min="5" max="5"/>
  </cols>
  <sheetData>
    <row r="1">
      <c r="A1" s="35" t="inlineStr">
        <is>
          <t>Подбор моделей и условия цены</t>
        </is>
      </c>
      <c r="B1" s="36" t="n"/>
      <c r="C1" s="36" t="n"/>
      <c r="D1" s="36" t="n"/>
      <c r="E1" s="36" t="n"/>
    </row>
    <row r="2">
      <c r="A2" s="36" t="inlineStr">
        <is>
          <t>JSON для локального агента. Неизвестная характеристика не подтверждает требование клиента.</t>
        </is>
      </c>
      <c r="B2" s="36" t="n"/>
      <c r="C2" s="36" t="n"/>
      <c r="D2" s="36" t="n"/>
      <c r="E2" s="36" t="n"/>
    </row>
    <row r="3"/>
    <row r="4"/>
    <row r="5">
      <c r="A5" s="37" t="inlineStr">
        <is>
          <t>ID модели</t>
        </is>
      </c>
      <c r="B5" s="37" t="inlineStr">
        <is>
          <t>Синонимы JSON</t>
        </is>
      </c>
      <c r="C5" s="37" t="inlineStr">
        <is>
          <t>Характеристики JSON</t>
        </is>
      </c>
      <c r="D5" s="37" t="inlineStr">
        <is>
          <t>Примечания КП JSON</t>
        </is>
      </c>
      <c r="E5" s="37" t="inlineStr">
        <is>
          <t>Условия цены JSON</t>
        </is>
      </c>
    </row>
    <row r="6">
      <c r="A6" s="18" t="inlineStr">
        <is>
          <t>MET-001</t>
        </is>
      </c>
      <c r="B6" s="18" t="inlineStr">
        <is>
          <t>["Дверь техническая ДМ-1","ДМ-1"]</t>
        </is>
      </c>
      <c r="C6" s="18" t="inlineStr">
        <is>
          <t>{}</t>
        </is>
      </c>
      <c r="D6" s="18" t="inlineStr">
        <is>
          <t>[]</t>
        </is>
      </c>
      <c r="E6" s="18" t="inlineStr">
        <is>
          <t>{}</t>
        </is>
      </c>
    </row>
    <row r="7">
      <c r="A7" s="18" t="inlineStr">
        <is>
          <t>MET-002</t>
        </is>
      </c>
      <c r="B7" s="18" t="inlineStr">
        <is>
          <t>["Дверь с терморазрывом ДМ-1","ДМ-1"]</t>
        </is>
      </c>
      <c r="C7" s="18" t="inlineStr">
        <is>
          <t>{}</t>
        </is>
      </c>
      <c r="D7" s="18" t="inlineStr">
        <is>
          <t>[]</t>
        </is>
      </c>
      <c r="E7" s="18" t="inlineStr">
        <is>
          <t>{}</t>
        </is>
      </c>
    </row>
    <row r="8">
      <c r="A8" s="18" t="inlineStr">
        <is>
          <t>MET-003</t>
        </is>
      </c>
      <c r="B8" s="18" t="inlineStr">
        <is>
          <t>["Дверь техническая ДМО-1 D300","ДМО-1","D300"]</t>
        </is>
      </c>
      <c r="C8" s="18" t="inlineStr">
        <is>
          <t>{}</t>
        </is>
      </c>
      <c r="D8" s="18" t="inlineStr">
        <is>
          <t>[]</t>
        </is>
      </c>
      <c r="E8" s="18" t="inlineStr">
        <is>
          <t>{}</t>
        </is>
      </c>
    </row>
    <row r="9">
      <c r="A9" s="18" t="inlineStr">
        <is>
          <t>MET-004</t>
        </is>
      </c>
      <c r="B9" s="18" t="inlineStr">
        <is>
          <t>["Дверь двухстворчатая техническая ДМО","ДМО-1","D300"]</t>
        </is>
      </c>
      <c r="C9" s="18" t="inlineStr">
        <is>
          <t>{}</t>
        </is>
      </c>
      <c r="D9" s="18" t="inlineStr">
        <is>
          <t>[]</t>
        </is>
      </c>
      <c r="E9" s="18" t="inlineStr">
        <is>
          <t>{}</t>
        </is>
      </c>
    </row>
    <row r="10">
      <c r="A10" s="18" t="inlineStr">
        <is>
          <t>MET-005</t>
        </is>
      </c>
      <c r="B10" s="18" t="inlineStr">
        <is>
          <t>["Входная дверь противопожарная EI30 ДМ-1","EI30","ДМ-1"]</t>
        </is>
      </c>
      <c r="C10" s="18" t="inlineStr">
        <is>
          <t>{}</t>
        </is>
      </c>
      <c r="D10" s="18" t="inlineStr">
        <is>
          <t>[]</t>
        </is>
      </c>
      <c r="E10" s="18" t="inlineStr">
        <is>
          <t>{"estimate_profiles":[{"profile_id":"EI30-VENT","name":"EI30 с самозаплавляющейся вентиляцией, ключ/ключ","target_requirements":{"fire_rating":"EI30","leaf_count":1,"glazing":"solid","technical":{"lock_mode":"key_key","fusible_vent":true}},"components":["base"],"options":[{"tariff_id":"OPT-018","measure":"fixed","value":"1"},{"tariff_id":"OPT-027","measure":"fixed","value":"1"}],"assumptions":["Ключ/ключ обеспечивается сметным резервом нового цилиндра; длину и совместимость подтвердить.","Размер из марки используется в смете в явно выбранном основании; это допущение, не универсальный перевод проёма в коробку.","Для EI30 заложен полный огнестойкий вентиляционный узел. Самозаплавляющееся заполнение, свободное сечение, размер решётки и допуск в конструкции подтверждает производство."]}]}</t>
        </is>
      </c>
    </row>
    <row r="11">
      <c r="A11" s="18" t="inlineStr">
        <is>
          <t>MET-006</t>
        </is>
      </c>
      <c r="B11" s="18" t="inlineStr">
        <is>
          <t>["Входная дверь противопожарная EI60 ДМ-1","EI60","ДМ-1"]</t>
        </is>
      </c>
      <c r="C11" s="18" t="inlineStr">
        <is>
          <t>{}</t>
        </is>
      </c>
      <c r="D11" s="18" t="inlineStr">
        <is>
          <t>[]</t>
        </is>
      </c>
      <c r="E11" s="18" t="inlineStr">
        <is>
          <t>{}</t>
        </is>
      </c>
    </row>
    <row r="12">
      <c r="A12" s="18" t="inlineStr">
        <is>
          <t>MET-007</t>
        </is>
      </c>
      <c r="B12" s="18" t="inlineStr">
        <is>
          <t>["ДПМ-2-Г-EI30, глухой двупольный блок, порошок","ДПМ-2-Г-EI30","ДМП-02/30","ДПМ-02/30","металлическая глухая двупольная EI30","двустворчатая противопожарная EI30"]</t>
        </is>
      </c>
      <c r="C12" s="18" t="inlineStr">
        <is>
          <t>{"steel_sheet_mm":1.5,"leaf_split_confirmed":false,"price_kind":"starting_price"}</t>
        </is>
      </c>
      <c r="D12" s="18" t="inlineStr">
        <is>
          <t>["Рыночная базовая цена для предварительного КП. Комплектация, применимость к проекту и итоговая цена исполнения подлежат уточнению."]</t>
        </is>
      </c>
      <c r="E12" s="18" t="inlineStr">
        <is>
          <t>{}</t>
        </is>
      </c>
    </row>
    <row r="13">
      <c r="A13" s="18" t="inlineStr">
        <is>
          <t>MET-008</t>
        </is>
      </c>
      <c r="B13" s="18" t="inlineStr">
        <is>
          <t>["ДПМ-2-Г-EI60, глухой двупольный блок, порошок","ДПМ-2-Г-EI60","ДМП-02/60","ДПМ-02/60","металлическая глухая двупольная EI60","двустворчатая противопожарная EI60"]</t>
        </is>
      </c>
      <c r="C13" s="18" t="inlineStr">
        <is>
          <t>{"steel_sheet_mm":1.5,"leaf_split_confirmed":false,"price_kind":"starting_price"}</t>
        </is>
      </c>
      <c r="D13" s="18" t="inlineStr">
        <is>
          <t>["Рыночная базовая цена для предварительного КП. Комплектация, применимость к проекту и итоговая цена исполнения подлежат уточнению."]</t>
        </is>
      </c>
      <c r="E13" s="18" t="inlineStr">
        <is>
          <t>{}</t>
        </is>
      </c>
    </row>
    <row r="14">
      <c r="A14" s="18" t="inlineStr">
        <is>
          <t>ALU-001</t>
        </is>
      </c>
      <c r="B14" s="18" t="inlineStr">
        <is>
          <t>["ДА-1-СП-V60, алюминиевый блок Vidnal V60","ДА-1-СП-V60","алюминиевая","алюминиевая дверь 1 створки","ДА-1","дверь из алюминиевого профиля 1 створки"]</t>
        </is>
      </c>
      <c r="C14" s="18" t="inlineStr">
        <is>
          <t>{"profile":"Vidnal V60","glass_unit":"однокамерный","hardware":"Roto NT","thermal_class":null}</t>
        </is>
      </c>
      <c r="D14" s="18" t="inlineStr">
        <is>
          <t>["Рыночная базовая цена для предварительного КП. Комплектация, применимость к проекту и итоговая цена исполнения подлежат уточнению."]</t>
        </is>
      </c>
      <c r="E14" s="18" t="inlineStr">
        <is>
          <t>{"estimate_profiles":[{"profile_id":"ALU-1-F-40","name":"Однопольный тёплый алюминиевый блок с фрамугой, СПД40","target_requirements":{"leaf_count":1,"glazing":"glazed","technical":{"profile":"СИАЛ или аналог","color":"RAL 7024","closer_included":true,"transom":true,"glass_unit_thickness_mm":40,"glass_formula":"6М1зак-12-4М1-12-6Изак"}},"components":["base"],"options":[{"tariff_id":"OPT-022","measure":"glass_envelope","value":"1","transom_height_mm":300},{"tariff_id":"OPT-023","measure":"profile_length","value":"1","transom_height_mm":300},{"tariff_id":"OPT-024","measure":"width_m","value":"1"},{"tariff_id":"OPT-029","measure":"fixed","value":"1"}],"assumptions":["Клиент разрешил СИАЛ или аналог. Для сметы предложен Vidnal V60; эквивалентность подтверждается производством, точный СИАЛ не заявляется.","Верхняя секция принята глухой по открыванию, с остеклением, высотой 300 мм. Карта стёкол и размеры створок не определены.","СПД40 оценён по полному габариту с резервом минимальной площади верхней секции. Цена исходного стекла не зачтена. Это запас на полную замену, а не чистая заводская доплата.","RAL7024 оценён для нового профиля по расчётной длине без карты раскроя. Базовый белый цвет не зачтён.","Порог, петли, ручки и штатный замок приняты в сметной базе целого блока; их исполнение, врезка и окончательная стоимость уточняются.","В исходном письме «СПО40» противоречит словам «двухкамерный» и формуле трёх стёкол. Для сметы принят СПД40 по формуле; исходная запись сохранена.","Фрамуга дополнительно оценена по аналоговому тарифу ширины. Доводчик добавлен один."]}]}</t>
        </is>
      </c>
    </row>
    <row r="15">
      <c r="A15" s="18" t="inlineStr">
        <is>
          <t>ALU-002</t>
        </is>
      </c>
      <c r="B15" s="18" t="inlineStr">
        <is>
          <t>["ДА-2-СП-V60, алюминиевый блок Vidnal V60","ДА-2-СП-V60","алюминиевая","алюминиевая дверь 2 створки","ДА-2","дверь из алюминиевого профиля 2 створки"]</t>
        </is>
      </c>
      <c r="C15" s="18" t="inlineStr">
        <is>
          <t>{"profile":"Vidnal V60","glass_unit":"однокамерный","hardware":"Roto NT","thermal_class":null}</t>
        </is>
      </c>
      <c r="D15" s="18" t="inlineStr">
        <is>
          <t>["Рыночная базовая цена для предварительного КП. Комплектация, применимость к проекту и итоговая цена исполнения подлежат уточнению."]</t>
        </is>
      </c>
      <c r="E15" s="18" t="inlineStr">
        <is>
          <t>{}</t>
        </is>
      </c>
    </row>
    <row r="16">
      <c r="A16" s="18" t="inlineStr">
        <is>
          <t>MET-009</t>
        </is>
      </c>
      <c r="B16" s="18" t="inlineStr">
        <is>
          <t>["ДПСО-1-EIW60, остеклённый стальной блок Н195","ДПСО-1-О-EIW60-Н195"]</t>
        </is>
      </c>
      <c r="C16" s="18" t="inlineStr">
        <is>
          <t>{"insulated":true,"transom":false,"glass_protection_class":null,"glazing_area_class":null,"lock_mode":null,"fire_documents_verified":false}</t>
        </is>
      </c>
      <c r="D16" s="18" t="inlineStr">
        <is>
          <t>["Предварительная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согласованию.","Публичная цена «от» за базовый габарит 900×2100. Класс стекла СМ4 и точная площадь остекления не указаны. В карточке есть общие характеристики EI60; обозначение EIW60 сохранено как заявление каталога, документы на требуемый комплект необходимо подтвердить. Фрамуга не включена."]</t>
        </is>
      </c>
      <c r="E16" s="18" t="inlineStr">
        <is>
          <t>{"status":"preliminary_market","reference_date":"2026-10-17","price_scope":"listed_configuration","tax":"as_published","estimate_profiles":[{"profile_id":"EIW60-25","name":"EIW60/СМ4, остекление до 25%","target_requirements":{"fire_rating":"EIW60","leaf_count":1,"glazing":"glazed","technical":{"glass_protection_class":"СМ4","glazing_area_class":"up_to_25","transom":false}},"components":["base"],"options":[{"tariff_id":"OPT-019","measure":"gross_area","value":"0.25"}],"assumptions":["СМ4, EIW60, площадь остекления и документы на весь блок подтверждаются производством.","В резерв включена полная стоимость стекла по 25% общего габарита. Это верхняя оценка, не фактическая площадь выреза. Базовое стекло не зачтено из-за отсутствия разбивки цены.","Размер марки условно принят габаритом блока для сметы; окончательное основание размера уточнить."]}]}</t>
        </is>
      </c>
    </row>
    <row r="17">
      <c r="A17" s="18" t="inlineStr">
        <is>
          <t>MET-010</t>
        </is>
      </c>
      <c r="B17" s="18" t="inlineStr">
        <is>
          <t>["ДПСО-1-Ф-EIW60, остеклённый стальной блок с фрамугой Н371","ДПСО-1-Ф-EIW60-Н371"]</t>
        </is>
      </c>
      <c r="C17" s="18" t="inlineStr">
        <is>
          <t>{"insulated":true,"transom":true,"glass_protection_class":null,"glazing_area_class":"maximum","lock_mode":null,"fire_documents_verified":false}</t>
        </is>
      </c>
      <c r="D17" s="18" t="inlineStr">
        <is>
          <t>["Предварительная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согласованию.","Цена «от» за опубликованный габарит 900×2100, не за дверь 1100×2400. Размер, заполнение и высота фрамуги, стекло СМ4 и остекление не более 25% требуют согласования. Каталог заявляет максимальное остекление; под требование ≤25% автоматически не подбирать."]</t>
        </is>
      </c>
      <c r="E17" s="18" t="inlineStr">
        <is>
          <t>{"status":"preliminary_market","reference_date":"2026-10-17","price_scope":"listed_configuration","tax":"as_published","estimate_profiles":[{"profile_id":"EIW60-25-F","name":"EIW60/СМ4, остекление до 25%, фрамуга","target_requirements":{"fire_rating":"EIW60","leaf_count":1,"glazing":"glazed","technical":{"glass_protection_class":"СМ4","glazing_area_class":"up_to_25","transom":true,"insulated":true,"lock_mode":"key_key"}},"components":["base"],"options":[{"tariff_id":"OPT-019","measure":"gross_area","value":"0.25"},{"tariff_id":"OPT-027","measure":"fixed","value":"1"}],"assumptions":["СМ4, EIW60, площадь остекления и документы на весь блок подтверждаются производством.","В резерв включена полная стоимость стекла по 25% общего габарита. Это верхняя оценка, не фактическая площадь выреза. Базовое стекло не зачтено из-за отсутствия разбивки цены.","Размер марки условно принят габаритом блока для сметы; окончательное основание размера уточнить.","Фрамуга уже учтена в базе MET-010, повторной доплаты за неё нет. В смете принята глухая верхняя секция 300 мм; исходное максимальное остекление модели не равно требуемым ≤25%. Стоимость конструктивной переработки может быть уточнена."]}]}</t>
        </is>
      </c>
    </row>
    <row r="18">
      <c r="A18" s="18" t="inlineStr">
        <is>
          <t>MET-011</t>
        </is>
      </c>
      <c r="B18" s="18" t="inlineStr">
        <is>
          <t>["ДПСО-2-001C, стальной остеклённый двупольный EIW30","ДПСО-2-О-EIW30-001C"]</t>
        </is>
      </c>
      <c r="C18" s="18" t="inlineStr">
        <is>
          <t>{"transom":false,"insulated":null,"glass_protection_class":null,"glazing_area_class":"up_to_25","glass_unit_thickness_mm":28,"closer_included":null,"fire_documents_verified":false}</t>
        </is>
      </c>
      <c r="D18" s="18" t="inlineStr">
        <is>
          <t>["Предварительная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согласованию.","Опубликована комплектация с остеклением до 25%, стеклопакет 28 мм. Это не цена исполнения с остеклением до 50%, СМ4 и фрамугой. Нельзя переносить эту цену на требуемое исполнение без отдельных тарифов. Доводчик указан в названии, количество и состав поставки не уточнены."]</t>
        </is>
      </c>
      <c r="E18" s="18" t="inlineStr">
        <is>
          <t>{"status":"preliminary_market","reference_date":"2026-10-17","price_scope":"listed_configuration","tax":"as_published","estimate_profiles":[{"profile_id":"EIW30-50-F","name":"Двупольный EIW30/СМ4 до 50%, с фрамугой","target_requirements":{"fire_rating":"EIW30","leaf_count":2,"glazing":"glazed","technical":{"glass_protection_class":"СМ4","glazing_area_class":"up_to_50","transom":true}},"components":["base"],"options":[{"tariff_id":"OPT-020","measure":"gross_area","value":"0.5"},{"tariff_id":"OPT-021","measure":"fixed","value":"1"}],"assumptions":["Базовая модель имеет остекление до 25% без фрамуги. Для сметы отдельно заложены резерв полной замены стекла и глухая фрамуга 300 мм. Это аналоговая оценка изменённой конструкции, не заводская цена исполнения до 50%.","В резерве стекла взято 50% полной площади блока; глухая фрамуга и профиль не вычитались, поэтому заложен запас.","Габарит марки условно принят габаритом блока. Документы EIW30/СМ4, размеры фрамуги, переработку проёмов и окончательную стоимость подтверждает производство."]}]}</t>
        </is>
      </c>
    </row>
    <row r="19">
      <c r="A19" s="18" t="inlineStr">
        <is>
          <t>MET-012</t>
        </is>
      </c>
      <c r="B19" s="18" t="inlineStr">
        <is>
          <t>["ДПС-1-Г-СВ-EI60, блок с самозаплавляющейся вентиляцией pd195","ДПС-1-Г-СВ-EI60-PD195"]</t>
        </is>
      </c>
      <c r="C19" s="18" t="inlineStr">
        <is>
          <t>{"fusible_vent":true,"insulated":true,"transom":false,"lock_mode":null,"fire_documents_verified":false}</t>
        </is>
      </c>
      <c r="D19" s="18" t="inlineStr">
        <is>
          <t>["Предварительная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согласованию.","Цена «от» за коробку 850×2050. Опубликованный диапазон изготовления не является набором стандартных цен. Самозаплавляющаяся решётка в базовой комплектации повторно не добавляется. Размер решётки, запирание ключ/ключ и документы на исполнение уточнить. Не подменяет EI30 автоматически."]</t>
        </is>
      </c>
      <c r="E19" s="18" t="inlineStr">
        <is>
          <t>{"status":"preliminary_market","reference_date":"2026-10-17","price_scope":"listed_configuration","tax":"as_published","estimate_profiles":[{"profile_id":"EI60-VENT","name":"EI60 с самозаплавляющейся вентиляцией, ключ/ключ","target_requirements":{"fire_rating":"EI60","leaf_count":1,"glazing":"solid","technical":{"lock_mode":"key_key","fusible_vent":true,"insulated":true}},"components":["base"],"options":[{"tariff_id":"OPT-027","measure":"fixed","value":"1"}],"assumptions":["Ключ/ключ обеспечивается сметным резервом нового цилиндра; длину и совместимость подтвердить.","Размер из марки используется в смете в явно выбранном основании; это допущение, не универсальный перевод проёма в коробку.","Вентиляция уже в базе MET-012; второй вентиляционный узел не добавлялся."]}]}</t>
        </is>
      </c>
    </row>
    <row r="20">
      <c r="A20" s="18" t="inlineStr">
        <is>
          <t>MET-013</t>
        </is>
      </c>
      <c r="B20" s="18" t="inlineStr">
        <is>
          <t>["ДПС-2-Г-У-EI60, утеплённый двупольный блок Клин","ДПС-2-Г-У-EI60-КЛИН"]</t>
        </is>
      </c>
      <c r="C20" s="18" t="inlineStr">
        <is>
          <t>{"insulated":true,"transom":false,"lock_mode":null,"fire_documents_verified":false}</t>
        </is>
      </c>
      <c r="D20" s="18" t="inlineStr">
        <is>
          <t>["Предварительная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согласованию.","На странице указана цена за проём 1200×2000 для двупольной модели; общие повторные блоки содержат другой размер. Используется только размер из характеристик конкретного двупольного изделия. Утепление базальтовой плитой включено. Тип цилиндра ключ/ключ и фактические габариты коробки уточнить. Доводчик отдельно."]</t>
        </is>
      </c>
      <c r="E20" s="18" t="inlineStr">
        <is>
          <t>{"status":"preliminary_market","reference_date":"2026-10-17","price_scope":"listed_configuration","tax":"as_published","estimate_profiles":[{"profile_id":"EI60-DOUBLE","name":"EI60 двупольный утеплённый, ключ/ключ","target_requirements":{"fire_rating":"EI60","leaf_count":2,"glazing":"solid","technical":{"lock_mode":"key_key","insulated":true}},"components":["base"],"options":[{"tariff_id":"OPT-027","measure":"fixed","value":"1"}],"assumptions":["Ключ/ключ обеспечивается сметным резервом нового цилиндра; длину и совместимость подтвердить.","Размер из марки используется в смете в явно выбранном основании; это допущение, не универсальный перевод проёма в коробку."]}]}</t>
        </is>
      </c>
    </row>
    <row r="21">
      <c r="A21" s="18" t="inlineStr">
        <is>
          <t>ALU-003</t>
        </is>
      </c>
      <c r="B21" s="18" t="inlineStr">
        <is>
          <t>["ДА-1-СПД32-КПТ74, тёплый блок СИАЛ","ДА-1-О-Т-СИАЛ-СПД32"]</t>
        </is>
      </c>
      <c r="C21" s="18" t="inlineStr">
        <is>
          <t>{"profile":"СИАЛ КПТ74","thermal_break":true,"glass_unit_thickness_mm":32,"glass_formula":"4-10-4-10-4","transom":false,"color":"RAL 9016","lock_mode":"key_key","closer_included":false}</t>
        </is>
      </c>
      <c r="D21" s="18" t="inlineStr">
        <is>
          <t>["Региональный ориентир вне Москвы и Московской области. Не применять для расчёта.","Предварительная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согласованию.","Белый RAL 9016; стеклопакет 32 мм, не требуемые 40 мм с закалёнными стёклами. Фрамуга, точный RAL 7024, доводчик, порог и изменение стеклопакета не оценены. Не назначать цену этих опций равной нулю."]</t>
        </is>
      </c>
      <c r="E21" s="18" t="inlineStr">
        <is>
          <t>{"status":"preliminary_market","reference_date":"2026-10-17","price_scope":"listed_configuration","tax":"as_published","disabled":true,"disabled_reason":"Региональный ориентир вне Москвы и Московской области. Не применять для расчёта."}</t>
        </is>
      </c>
    </row>
    <row r="22">
      <c r="A22" s="18" t="inlineStr">
        <is>
          <t>ALU-004</t>
        </is>
      </c>
      <c r="B22" s="18" t="inlineStr">
        <is>
          <t>["ДА-2-СПД32-КПТ74, тёплый двупольный блок СИАЛ","ДА-2-О-Т-СИАЛ-СПД32"]</t>
        </is>
      </c>
      <c r="C22" s="18" t="inlineStr">
        <is>
          <t>{"profile":"СИАЛ КПТ74","thermal_break":true,"glass_unit_thickness_mm":32,"glass_formula":"4-10-4-10-4","transom":false,"color":"RAL 9016","equal_leaves":null,"lock_mode":"key_key","closer_included":false}</t>
        </is>
      </c>
      <c r="D22" s="18" t="inlineStr">
        <is>
          <t>["Региональный ориентир вне Москвы и Московской области. Не применять для расчёта.","Предварительная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согласованию.","Точная разбивка створок, равнопольное исполнение, фрамуга, СПД40 с заданной формулой, RAL 7024, шпингалеты, порог, координатор и доводчики требуют отдельных подтверждённых тарифов. Базовая цена не покрывает эти опции."]</t>
        </is>
      </c>
      <c r="E22" s="18" t="inlineStr">
        <is>
          <t>{"status":"preliminary_market","reference_date":"2026-10-17","price_scope":"listed_configuration","tax":"as_published","disabled":true,"disabled_reason":"Региональный ориентир вне Москвы и Московской области. Не применять для расчёта."}</t>
        </is>
      </c>
    </row>
    <row r="23">
      <c r="A23" s="18" t="inlineStr">
        <is>
          <t>ALU-005</t>
        </is>
      </c>
      <c r="B23" s="18" t="inlineStr">
        <is>
          <t>["ДА-2-Ф-W62, алюминиевый блок Alutech с фрамугой","ДА-2-О-Ф-ALUTECH-W62"]</t>
        </is>
      </c>
      <c r="C23" s="18" t="inlineStr">
        <is>
          <t>{"profile":"Alutech W62","transom":true,"glass_unit_thickness_mm":null,"glass_formula":null,"color":"Белый","equal_leaves":null,"closer_included":null}</t>
        </is>
      </c>
      <c r="D23" s="18" t="inlineStr">
        <is>
          <t>["Предварительная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согласованию.","Цена опубликованного белого блока 1500×2700 с фрамугой. Формула стеклопакета, равные створки, RAL 7024, замок, порог, шпингалеты, координатор закрывания и доводчики в цену документально не раскрыты. Это ценовой вариант другого профиля, применение как аналога СИАЛ требует согласования."]</t>
        </is>
      </c>
      <c r="E23" s="18" t="inlineStr">
        <is>
          <t>{"status":"preliminary_market","reference_date":"2026-10-17","price_scope":"listed_configuration","tax":"as_published","estimate_profiles":[{"profile_id":"ALU-2-F-40","name":"Двупольный тёплый алюминиевый блок с фрамугой, СПД40","target_requirements":{"leaf_count":2,"glazing":"glazed","technical":{"profile":"СИАЛ или аналог","color":"RAL 7024","closer_included":true,"transom":true,"glass_unit_thickness_mm":40,"glass_formula":"6М1зак-12-4М1-12-6Изак","equal_leaves":true}},"components":["base"],"options":[{"tariff_id":"OPT-022","measure":"glass_envelope","value":"1","transom_height_mm":300},{"tariff_id":"OPT-023","measure":"profile_length","value":"1","transom_height_mm":300},{"tariff_id":"OPT-025","measure":"fixed","value":"1"}],"assumptions":["Клиент разрешил СИАЛ или аналог. Для сметы предложен Alutech W62; эквивалентность подтверждается производством, точный СИАЛ не заявляется.","Верхняя секция принята глухой по открыванию, с остеклением, высотой 300 мм. Карта стёкол и размеры створок не определены.","СПД40 оценён по полному габариту с резервом минимальной площади верхней секции. Цена исходного стекла не зачтена. Это запас на полную замену, а не чистая заводская доплата.","RAL7024 оценён для нового профиля по расчётной длине без карты раскроя. Базовый белый цвет не зачтён.","Порог, петли, ручки и штатный замок приняты в сметной базе целого блока; их исполнение, врезка и окончательная стоимость уточняются.","В исходном письме «СПО40» противоречит словам «двухкамерный» и формуле трёх стёкол. Для сметы принят СПД40 по формуле; исходная запись сохранена.","Фрамуга уже включена в MET/ALU-базу ALU-005. Отдельный тариф фрамуги не начисляется. Два доводчика, два шпингалета и координатор добавлены одним комплектом. Равнопольность требуется по проекту, но не подтверждена опубликованной комплектацией."]}]}</t>
        </is>
      </c>
    </row>
    <row r="24">
      <c r="A24" s="18" t="inlineStr">
        <is>
          <t>ALU-006</t>
        </is>
      </c>
      <c r="B24" s="18" t="inlineStr">
        <is>
          <t>["ДА-1-Г-Т-V60, тёплый глухой блок Vidnal","ДА-1-Г-Т-VIDNAL-V60"]</t>
        </is>
      </c>
      <c r="C24" s="18" t="inlineStr">
        <is>
          <t>{"profile":"Vidnal V60","thermal_break":true,"transom":false,"impost":null,"lock_mode":null,"closer_included":false}</t>
        </is>
      </c>
      <c r="D24" s="18" t="inlineStr">
        <is>
          <t>["Предварительная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согласованию.","Цена без монтажа. Импост, требуемый СИАЛ или согласованный аналог, RAL 7024, доводчик, порог и замок ключ/завёртка не подтверждены в составе. Не использовать как полное соответствие этим требованиям."]</t>
        </is>
      </c>
      <c r="E24" s="18" t="inlineStr">
        <is>
          <t>{"status":"preliminary_market","reference_date":"2026-10-17","price_scope":"listed_configuration","tax":"as_published"}</t>
        </is>
      </c>
    </row>
    <row r="25">
      <c r="A25" s="23" t="inlineStr">
        <is>
          <t>ALU-007</t>
        </is>
      </c>
      <c r="B25" s="23" t="inlineStr">
        <is>
          <t>["ДА-1-Г-И-Т, сметный тёплый блок с импостом","ДА-1-Г-И-Т-СМЕТА"]</t>
        </is>
      </c>
      <c r="C25" s="23" t="inlineStr">
        <is>
          <t>{"thermal_break":true,"transom":false,"impost":null,"profile":null,"color":null,"lock_mode":null,"closer_included":false}</t>
        </is>
      </c>
      <c r="D25" s="23" t="inlineStr">
        <is>
          <t>["База 37800 руб. — расчётная оценка тёплого глухого блока с импостом. Соответствие проекту и окончательная цена требуют подтверждения."]</t>
        </is>
      </c>
      <c r="E25" s="23" t="inlineStr">
        <is>
          <t>{"status":"calculated_market_estimate","estimate_only":true,"price_scope":"proposed_frame_assembly","reference_date":"2026-10-17","base_derivation":{"rate_rub_per_m2":20000,"width_mm":900,"height_mm":2100},"tax":"as_listed","estimate_profiles":[{"profile_id":"ALU-1-SOLID-IMPOST","name":"Тёплый глухой алюминиевый блок с импостом, ключ/завёртка","target_requirements":{"leaf_count":1,"glazing":"solid","technical":{"profile":"СИАЛ или аналог","color":"RAL 7024","closer_included":true,"impost":true,"lock_mode":"key_thumbturn"}},"components":["base"],"options":[{"tariff_id":"OPT-023","measure":"profile_length","value":"1","transom_height_mm":0,"impost":true},{"tariff_id":"OPT-026","measure":"fixed","value":"1"},{"tariff_id":"OPT-029","measure":"fixed","value":"1"}],"assumptions":["Предложена сметная конструкция тёплого глухого блока с импостом по ориентиру 20000 руб./м² эталона 900×2100. Это расчётная база, не цена конкретной модели завода.","Порог, петли, ручки и корпус штатного замка приняты в сметной базе. Импост учтён в стоимости рамной конструкции; точный профиль, узлы и применимость подтверждаются производством.","Ключ/завёртка и один доводчик оценены отдельно. Размер цилиндра и нагрузку доводчика согласовать.","RAL7024 оценён по длине нового профиля; это не перекраска собранной готовой двери."]}]}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2026-10-18T19:33:09Z</dcterms:created>
  <dcterms:modified xmlns:dcterms="http://purl.org/dc/terms/" xmlns:xsi="http://www.w3.org/2001/XMLSchema-instance" xsi:type="dcterms:W3CDTF">2026-10-18T19:33:10Z</dcterms:modified>
</cp:coreProperties>
</file>