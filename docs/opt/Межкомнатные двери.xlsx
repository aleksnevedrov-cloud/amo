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Прайс по ГОСТ" sheetId="1" state="visible" r:id="rId1"/>
    <sheet xmlns:r="http://schemas.openxmlformats.org/officeDocument/2006/relationships" name="Сокращения" sheetId="2" state="visible" r:id="rId2"/>
    <sheet xmlns:r="http://schemas.openxmlformats.org/officeDocument/2006/relationships" name="ID" sheetId="3" state="visible" r:id="rId3"/>
    <sheet xmlns:r="http://schemas.openxmlformats.org/officeDocument/2006/relationships" name="Типоразмеры" sheetId="4" state="visible" r:id="rId4"/>
    <sheet xmlns:r="http://schemas.openxmlformats.org/officeDocument/2006/relationships" name="ГОСТы" sheetId="5" state="visible" r:id="rId5"/>
    <sheet xmlns:r="http://schemas.openxmlformats.org/officeDocument/2006/relationships" name="Размеры" sheetId="6" state="visible" r:id="rId6"/>
    <sheet xmlns:r="http://schemas.openxmlformats.org/officeDocument/2006/relationships" name="Нестандарт" sheetId="7" state="visible" r:id="rId7"/>
    <sheet xmlns:r="http://schemas.openxmlformats.org/officeDocument/2006/relationships" name="Словарь" sheetId="8" state="visible" r:id="rId8"/>
    <sheet xmlns:r="http://schemas.openxmlformats.org/officeDocument/2006/relationships" name="Задача_Клауду" sheetId="9" state="visible" r:id="rId9"/>
    <sheet xmlns:r="http://schemas.openxmlformats.org/officeDocument/2006/relationships" name="Дополнения" sheetId="10" state="visible" r:id="rId10"/>
    <sheet xmlns:r="http://schemas.openxmlformats.org/officeDocument/2006/relationships" name="Подбор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-#,##0;\-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8080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365B48"/>
        <bgColor rgb="FF666699"/>
      </patternFill>
    </fill>
    <fill>
      <patternFill patternType="solid">
        <fgColor rgb="FFDCE8DF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DCE8DF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center" vertical="bottom"/>
    </xf>
    <xf numFmtId="164" fontId="9" fillId="4" borderId="1" applyAlignment="1" pivotButton="0" quotePrefix="0" xfId="0">
      <alignment horizontal="general" vertical="center"/>
    </xf>
    <xf numFmtId="164" fontId="11" fillId="5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general" vertical="center"/>
    </xf>
    <xf numFmtId="0" fontId="12" fillId="2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0" fillId="0" borderId="4" pivotButton="0" quotePrefix="0" xfId="0"/>
    <xf numFmtId="0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164" fontId="11" fillId="5" borderId="1" applyAlignment="1" pivotButton="0" quotePrefix="0" xfId="0">
      <alignment horizontal="center" vertical="bottom"/>
    </xf>
    <xf numFmtId="164" fontId="9" fillId="4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center" vertical="bottom"/>
    </xf>
    <xf numFmtId="164" fontId="10" fillId="0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center"/>
    </xf>
    <xf numFmtId="164" fontId="11" fillId="5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general" vertical="center"/>
    </xf>
    <xf numFmtId="0" fontId="12" fillId="2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top" wrapText="1"/>
    </xf>
    <xf numFmtId="0" fontId="0" fillId="0" borderId="5" pivotButton="0" quotePrefix="0" xfId="0"/>
    <xf numFmtId="4" fontId="8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left" vertical="bottom"/>
    </xf>
    <xf numFmtId="0" fontId="14" fillId="6" borderId="0" pivotButton="0" quotePrefix="0" xfId="0"/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8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65B4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xSplit="9" ySplit="13" topLeftCell="J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style="19" min="1" max="1"/>
    <col width="22" customWidth="1" style="19" min="2" max="2"/>
    <col width="16" customWidth="1" style="19" min="3" max="3"/>
    <col width="20" customWidth="1" style="19" min="4" max="4"/>
    <col width="26" customWidth="1" style="19" min="5" max="5"/>
    <col width="34" customWidth="1" style="19" min="6" max="6"/>
    <col width="16" customWidth="1" style="19" min="7" max="7"/>
    <col width="14" customWidth="1" style="19" min="8" max="8"/>
    <col width="24" customWidth="1" style="19" min="9" max="9"/>
    <col width="15" customWidth="1" style="19" min="10" max="10"/>
    <col width="16" customWidth="1" style="19" min="11" max="11"/>
    <col width="22" customWidth="1" style="19" min="12" max="12"/>
    <col width="13" customWidth="1" style="19" min="13" max="13"/>
    <col width="7" customWidth="1" style="19" min="14" max="14"/>
    <col width="40" customWidth="1" style="19" min="15" max="15"/>
    <col width="11" customWidth="1" style="19" min="16" max="16"/>
    <col width="13" customWidth="1" style="19" min="17" max="17"/>
    <col width="13" customWidth="1" style="19" min="18" max="18"/>
    <col width="13" customWidth="1" style="19" min="19" max="19"/>
    <col width="12" customWidth="1" style="19" min="20" max="20"/>
    <col width="13" customWidth="1" style="19" min="21" max="21"/>
    <col width="9" customWidth="1" style="19" min="22" max="22"/>
    <col width="40" customWidth="1" style="19" min="23" max="23"/>
    <col width="60" customWidth="1" style="19" min="24" max="24"/>
    <col width="12" customWidth="1" style="19" min="25" max="25"/>
    <col width="60" customWidth="1" style="19" min="26" max="26"/>
    <col width="13" customWidth="1" style="19" min="27" max="27"/>
    <col width="13" customWidth="1" style="19" min="28" max="28"/>
    <col width="13" customWidth="1" style="19" min="29" max="29"/>
    <col width="13" customWidth="1" style="19" min="30" max="30"/>
    <col width="13" customWidth="1" style="19" min="31" max="31"/>
    <col width="13" customWidth="1" style="19" min="32" max="32"/>
    <col width="13" customWidth="1" style="19" min="33" max="33"/>
    <col width="13" customWidth="1" style="19" min="34" max="34"/>
  </cols>
  <sheetData>
    <row r="1" ht="42" customHeight="1" s="19">
      <c r="A1" s="23" t="inlineStr">
        <is>
          <t>№</t>
        </is>
      </c>
      <c r="B1" s="23" t="inlineStr">
        <is>
          <t>Модель (как на сайте)</t>
        </is>
      </c>
      <c r="C1" s="23" t="inlineStr">
        <is>
          <t>Сокращение в названии</t>
        </is>
      </c>
      <c r="D1" s="23" t="inlineStr">
        <is>
          <t>Тип дверей
Глухое/Остекленное</t>
        </is>
      </c>
      <c r="E1" s="23" t="inlineStr">
        <is>
          <t>ГОСТы</t>
        </is>
      </c>
      <c r="F1" s="23" t="inlineStr">
        <is>
          <t>Обозначение по ГОСТ (шаблон)</t>
        </is>
      </c>
      <c r="G1" s="23" t="inlineStr">
        <is>
          <t>Покрытие</t>
        </is>
      </c>
      <c r="H1" s="23" t="inlineStr">
        <is>
          <t>Материал</t>
        </is>
      </c>
      <c r="I1" s="23" t="inlineStr">
        <is>
          <t>Конструкция</t>
        </is>
      </c>
      <c r="J1" s="23" t="inlineStr">
        <is>
          <t>Назначение</t>
        </is>
      </c>
      <c r="K1" s="23" t="inlineStr">
        <is>
          <t>Огнестойкость / звукоизоляция</t>
        </is>
      </c>
      <c r="L1" s="23" t="inlineStr">
        <is>
          <t>Размеры полотна, мм</t>
        </is>
      </c>
      <c r="M1" s="23" t="inlineStr">
        <is>
          <t>Комплектация</t>
        </is>
      </c>
      <c r="N1" s="23" t="inlineStr">
        <is>
          <t>Цветов</t>
        </is>
      </c>
      <c r="O1" s="23" t="inlineStr">
        <is>
          <t>Цвета / исполнения</t>
        </is>
      </c>
      <c r="P1" s="23" t="inlineStr">
        <is>
          <t>Цена полотна / дверного блока, руб</t>
        </is>
      </c>
      <c r="Q1" s="23" t="inlineStr">
        <is>
          <t>Коробка, руб</t>
        </is>
      </c>
      <c r="R1" s="23" t="inlineStr">
        <is>
          <t>Наличник, руб</t>
        </is>
      </c>
      <c r="S1" s="23" t="inlineStr">
        <is>
          <t>Добор, руб</t>
        </is>
      </c>
      <c r="T1" s="23" t="inlineStr">
        <is>
          <t>Порог / планка, руб</t>
        </is>
      </c>
      <c r="U1" s="23" t="inlineStr">
        <is>
          <t>Итого комплект, руб</t>
        </is>
      </c>
      <c r="V1" s="23" t="inlineStr">
        <is>
          <t>Створок</t>
        </is>
      </c>
      <c r="W1" s="23" t="inlineStr">
        <is>
          <t>Входит в базу</t>
        </is>
      </c>
      <c r="X1" s="23" t="inlineStr">
        <is>
          <t>Примечание</t>
        </is>
      </c>
    </row>
    <row r="2" ht="15" customHeight="1" s="19">
      <c r="A2" s="26" t="n"/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48" t="n"/>
    </row>
    <row r="3" ht="38.25" customHeight="1" s="19">
      <c r="A3" s="30" t="n">
        <v>1</v>
      </c>
      <c r="B3" s="30" t="inlineStr">
        <is>
          <t>Финская с четвертью ДПГ</t>
        </is>
      </c>
      <c r="C3" s="30" t="inlineStr">
        <is>
          <t>ДПГ</t>
        </is>
      </c>
      <c r="D3" s="30" t="inlineStr">
        <is>
          <t>Г</t>
        </is>
      </c>
      <c r="E3" s="30" t="inlineStr">
        <is>
          <t>["ГОСТ 475-78","ГОСТ 475-2016"]</t>
        </is>
      </c>
      <c r="F3" s="30" t="inlineStr">
        <is>
          <t>ДМ 1Рп 21×9 Г ПрБ ГОСТ 475-2016 (в карточке — ГОСТ 475-78, утратил силу)</t>
        </is>
      </c>
      <c r="G3" s="30" t="inlineStr">
        <is>
          <t>Эмаль / ламинированные</t>
        </is>
      </c>
      <c r="H3" s="30" t="inlineStr">
        <is>
          <t>МДФ</t>
        </is>
      </c>
      <c r="I3" s="30" t="inlineStr">
        <is>
          <t>Каркасно-щитовая, с четвертью</t>
        </is>
      </c>
      <c r="J3" s="30" t="inlineStr">
        <is>
          <t>Офис, квартира, строительная</t>
        </is>
      </c>
      <c r="K3" s="30" t="inlineStr">
        <is>
          <t>—</t>
        </is>
      </c>
      <c r="L3" s="30" t="inlineStr">
        <is>
          <t>1900×600; 2000×600–900</t>
        </is>
      </c>
      <c r="M3" s="30" t="inlineStr">
        <is>
          <t>Коробка+Наличник+Добор+Порог</t>
        </is>
      </c>
      <c r="N3" s="30" t="n">
        <v>3</v>
      </c>
      <c r="O3" s="30" t="inlineStr">
        <is>
          <t>Эмаль серая; Эмаль белая; Серая</t>
        </is>
      </c>
      <c r="P3" s="32" t="n">
        <v>3100</v>
      </c>
      <c r="Q3" s="32" t="n">
        <v>1550</v>
      </c>
      <c r="R3" s="32" t="n">
        <v>1460</v>
      </c>
      <c r="S3" s="32" t="n">
        <v>680</v>
      </c>
      <c r="T3" s="32" t="n">
        <v>750</v>
      </c>
      <c r="U3" s="34">
        <f>SUM(P3:T3)</f>
        <v/>
      </c>
      <c r="V3" s="30" t="n">
        <v>1</v>
      </c>
      <c r="W3" s="30" t="inlineStr">
        <is>
          <t>Полотно</t>
        </is>
      </c>
      <c r="X3" s="30" t="inlineStr">
        <is>
          <t>Размеры в миллиметрах. Ширина × высота.</t>
        </is>
      </c>
    </row>
    <row r="4" ht="15" customHeight="1" s="19">
      <c r="A4" s="30" t="n"/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  <c r="P4" s="32" t="n"/>
      <c r="Q4" s="32" t="n"/>
      <c r="R4" s="32" t="n"/>
      <c r="S4" s="32" t="n"/>
      <c r="T4" s="33" t="n"/>
      <c r="U4" s="34" t="n"/>
      <c r="V4" s="30" t="n"/>
      <c r="W4" s="30" t="n"/>
      <c r="X4" s="30" t="n"/>
    </row>
    <row r="5" ht="15" customHeight="1" s="19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2" t="n"/>
      <c r="Q5" s="32" t="n"/>
      <c r="R5" s="32" t="n"/>
      <c r="S5" s="32" t="n"/>
      <c r="T5" s="33" t="n"/>
      <c r="U5" s="34" t="n"/>
      <c r="V5" s="30" t="n"/>
      <c r="W5" s="30" t="n"/>
      <c r="X5" s="30" t="n"/>
    </row>
    <row r="6" ht="15" customHeight="1" s="19">
      <c r="A6" s="30" t="n"/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2" t="n"/>
      <c r="Q6" s="32" t="n"/>
      <c r="R6" s="32" t="n"/>
      <c r="S6" s="32" t="n"/>
      <c r="T6" s="33" t="n"/>
      <c r="U6" s="34" t="n"/>
      <c r="V6" s="30" t="n"/>
      <c r="W6" s="30" t="n"/>
      <c r="X6" s="30" t="n"/>
    </row>
    <row r="7" ht="15" customHeight="1" s="19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2" t="n"/>
      <c r="Q7" s="32" t="n"/>
      <c r="R7" s="32" t="n"/>
      <c r="S7" s="32" t="n"/>
      <c r="T7" s="33" t="n"/>
      <c r="U7" s="34" t="n"/>
      <c r="V7" s="30" t="n"/>
      <c r="W7" s="30" t="n"/>
      <c r="X7" s="30" t="n"/>
    </row>
    <row r="8" ht="15" customHeight="1" s="19">
      <c r="A8" s="26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48" t="n"/>
    </row>
    <row r="9" ht="25.5" customHeight="1" s="19">
      <c r="A9" s="30" t="n">
        <v>2</v>
      </c>
      <c r="B9" s="30" t="inlineStr">
        <is>
          <t>ДПГ усиленная</t>
        </is>
      </c>
      <c r="C9" s="30" t="inlineStr">
        <is>
          <t>ДПГ</t>
        </is>
      </c>
      <c r="D9" s="30" t="inlineStr">
        <is>
          <t>Г</t>
        </is>
      </c>
      <c r="E9" s="30" t="inlineStr">
        <is>
          <t>["ГОСТ 6629-88"]</t>
        </is>
      </c>
      <c r="F9" s="30" t="inlineStr">
        <is>
          <t>ДУ 21-9</t>
        </is>
      </c>
      <c r="G9" s="30" t="inlineStr">
        <is>
          <t>ПВХ</t>
        </is>
      </c>
      <c r="H9" s="30" t="inlineStr">
        <is>
          <t>МДФ</t>
        </is>
      </c>
      <c r="I9" s="30" t="inlineStr">
        <is>
          <t>Усиленная</t>
        </is>
      </c>
      <c r="J9" s="30" t="inlineStr">
        <is>
          <t>Строительная</t>
        </is>
      </c>
      <c r="K9" s="30" t="inlineStr">
        <is>
          <t>—</t>
        </is>
      </c>
      <c r="L9" s="30" t="inlineStr">
        <is>
          <t>1900×550, 600; 2000×600–900</t>
        </is>
      </c>
      <c r="M9" s="30" t="inlineStr">
        <is>
          <t>Коробка+Наличник+Добор</t>
        </is>
      </c>
      <c r="N9" s="30" t="n">
        <v>7</v>
      </c>
      <c r="O9" s="30" t="inlineStr">
        <is>
          <t>Миланский орех; Итальянский орех; Венге; Белый; Орех; Дуб; Венге</t>
        </is>
      </c>
      <c r="P9" s="32" t="n">
        <v>6800</v>
      </c>
      <c r="Q9" s="32" t="n">
        <v>1910</v>
      </c>
      <c r="R9" s="32" t="n">
        <v>1430</v>
      </c>
      <c r="S9" s="32" t="n">
        <v>1060</v>
      </c>
      <c r="T9" s="33" t="inlineStr">
        <is>
          <t>—</t>
        </is>
      </c>
      <c r="U9" s="34">
        <f>SUM(P9:T9)</f>
        <v/>
      </c>
      <c r="V9" s="30" t="n">
        <v>1</v>
      </c>
      <c r="W9" s="30" t="inlineStr">
        <is>
          <t>Полотно</t>
        </is>
      </c>
      <c r="X9" s="30" t="inlineStr">
        <is>
          <t>Размеры в миллиметрах. Ширина × высота.</t>
        </is>
      </c>
    </row>
    <row r="10" ht="25.5" customHeight="1" s="19">
      <c r="A10" s="30" t="n">
        <v>3</v>
      </c>
      <c r="B10" s="30" t="inlineStr">
        <is>
          <t>ДПГ усиленная</t>
        </is>
      </c>
      <c r="C10" s="30" t="inlineStr">
        <is>
          <t>ДПГ</t>
        </is>
      </c>
      <c r="D10" s="30" t="inlineStr">
        <is>
          <t>Г</t>
        </is>
      </c>
      <c r="E10" s="30" t="inlineStr">
        <is>
          <t>["ГОСТ 6629-88"]</t>
        </is>
      </c>
      <c r="F10" s="30" t="inlineStr">
        <is>
          <t>ДУ 21-9</t>
        </is>
      </c>
      <c r="G10" s="30" t="inlineStr">
        <is>
          <t>Шпон</t>
        </is>
      </c>
      <c r="H10" s="30" t="inlineStr">
        <is>
          <t xml:space="preserve">МДФ </t>
        </is>
      </c>
      <c r="I10" s="30" t="inlineStr">
        <is>
          <t>Усиленная</t>
        </is>
      </c>
      <c r="J10" s="30" t="inlineStr">
        <is>
          <t>Строительная</t>
        </is>
      </c>
      <c r="K10" s="30" t="inlineStr">
        <is>
          <t>—</t>
        </is>
      </c>
      <c r="L10" s="30" t="inlineStr">
        <is>
          <t>1900×550, 600; 2000×600–900</t>
        </is>
      </c>
      <c r="M10" s="30" t="inlineStr">
        <is>
          <t>Коробка+Наличник+Добор</t>
        </is>
      </c>
      <c r="N10" s="30" t="n">
        <v>7</v>
      </c>
      <c r="O10" s="30" t="inlineStr">
        <is>
          <t xml:space="preserve"> Венге; Беленый дуб; Орех; Дуб натуральный, Серый</t>
        </is>
      </c>
      <c r="P10" s="32" t="n">
        <v>8000</v>
      </c>
      <c r="Q10" s="32" t="n">
        <v>1910</v>
      </c>
      <c r="R10" s="32" t="n">
        <v>1430</v>
      </c>
      <c r="S10" s="32" t="n">
        <v>1060</v>
      </c>
      <c r="T10" s="33" t="inlineStr">
        <is>
          <t>—</t>
        </is>
      </c>
      <c r="U10" s="34">
        <f>SUM(P10:T10)</f>
        <v/>
      </c>
      <c r="V10" s="30" t="n">
        <v>1</v>
      </c>
      <c r="W10" s="30" t="inlineStr">
        <is>
          <t>Полотно</t>
        </is>
      </c>
      <c r="X10" s="30" t="inlineStr">
        <is>
          <t>Размеры в миллиметрах. Ширина × высота.</t>
        </is>
      </c>
    </row>
    <row r="11" ht="25.5" customHeight="1" s="19">
      <c r="A11" s="30" t="n">
        <v>4</v>
      </c>
      <c r="B11" s="30" t="inlineStr">
        <is>
          <t>Т-01 ГОСТ</t>
        </is>
      </c>
      <c r="C11" s="30" t="inlineStr">
        <is>
          <t>Т-01</t>
        </is>
      </c>
      <c r="D11" s="30" t="inlineStr">
        <is>
          <t>Г</t>
        </is>
      </c>
      <c r="E11" s="30" t="inlineStr">
        <is>
          <t>["ГОСТ 6629-88"]</t>
        </is>
      </c>
      <c r="F11" s="30" t="inlineStr">
        <is>
          <t>ДУ 21-9</t>
        </is>
      </c>
      <c r="G11" s="30" t="inlineStr">
        <is>
          <t>Шпон</t>
        </is>
      </c>
      <c r="H11" s="30" t="inlineStr">
        <is>
          <t>Массив сосны</t>
        </is>
      </c>
      <c r="I11" s="30" t="inlineStr">
        <is>
          <t>Усиленная</t>
        </is>
      </c>
      <c r="J11" s="30" t="inlineStr">
        <is>
          <t>Для школы</t>
        </is>
      </c>
      <c r="K11" s="30" t="inlineStr">
        <is>
          <t>—</t>
        </is>
      </c>
      <c r="L11" s="30" t="inlineStr">
        <is>
          <t>2000×600, 700, 800, 900</t>
        </is>
      </c>
      <c r="M11" s="30" t="inlineStr">
        <is>
          <t>Коробка+Наличник+Добор+Порог</t>
        </is>
      </c>
      <c r="N11" s="30" t="n">
        <v>1</v>
      </c>
      <c r="O11" s="30" t="inlineStr">
        <is>
          <t>Дуб натуральный, Венге; Беленый дуб; Орех; Дуб натуральный, Серый</t>
        </is>
      </c>
      <c r="P11" s="32" t="n">
        <v>6500</v>
      </c>
      <c r="Q11" s="32" t="n">
        <v>2360</v>
      </c>
      <c r="R11" s="32" t="n">
        <v>920</v>
      </c>
      <c r="S11" s="32" t="n">
        <v>860</v>
      </c>
      <c r="T11" s="32" t="n">
        <v>1100</v>
      </c>
      <c r="U11" s="34">
        <f>SUM(P11:T11)</f>
        <v/>
      </c>
      <c r="V11" s="30" t="n">
        <v>1</v>
      </c>
      <c r="W11" s="30" t="inlineStr">
        <is>
          <t>Полотно</t>
        </is>
      </c>
      <c r="X11" s="30" t="inlineStr">
        <is>
          <t>Размеры в миллиметрах. Ширина × высота.</t>
        </is>
      </c>
    </row>
    <row r="12" ht="25.5" customHeight="1" s="19">
      <c r="A12" s="30" t="n">
        <v>5</v>
      </c>
      <c r="B12" s="30" t="inlineStr">
        <is>
          <t>ДПГ</t>
        </is>
      </c>
      <c r="C12" s="30" t="inlineStr">
        <is>
          <t>ДПГ</t>
        </is>
      </c>
      <c r="D12" s="30" t="inlineStr">
        <is>
          <t>Г</t>
        </is>
      </c>
      <c r="E12" s="30" t="inlineStr">
        <is>
          <t>["ГОСТ 6629-88"]</t>
        </is>
      </c>
      <c r="F12" s="30" t="inlineStr">
        <is>
          <t>ДГ 21-9</t>
        </is>
      </c>
      <c r="G12" s="30" t="inlineStr">
        <is>
          <t>CPL</t>
        </is>
      </c>
      <c r="H12" s="30" t="inlineStr">
        <is>
          <t>МДФ</t>
        </is>
      </c>
      <c r="I12" s="30" t="inlineStr">
        <is>
          <t>Каркасно-щитовая</t>
        </is>
      </c>
      <c r="J12" s="30" t="inlineStr">
        <is>
          <t>Для больницы</t>
        </is>
      </c>
      <c r="K12" s="30" t="inlineStr">
        <is>
          <t>—</t>
        </is>
      </c>
      <c r="L12" s="30" t="inlineStr">
        <is>
          <t>1900×550, 600; 2000×400, 550, 600–900</t>
        </is>
      </c>
      <c r="M12" s="30" t="inlineStr">
        <is>
          <t>Коробка+Наличник+Добор+Порог</t>
        </is>
      </c>
      <c r="N12" s="30" t="n">
        <v>12</v>
      </c>
      <c r="O12" s="30" t="inlineStr">
        <is>
          <t>Белый; Миланский орех; Беленый дуб; Венге; Итальянский орех</t>
        </is>
      </c>
      <c r="P12" s="32" t="n">
        <v>8800</v>
      </c>
      <c r="Q12" s="32" t="n">
        <v>3160</v>
      </c>
      <c r="R12" s="32" t="n">
        <v>3900</v>
      </c>
      <c r="S12" s="32" t="n">
        <v>890</v>
      </c>
      <c r="T12" s="32" t="n">
        <v>1280</v>
      </c>
      <c r="U12" s="34">
        <f>SUM(P12:T12)</f>
        <v/>
      </c>
      <c r="V12" s="30" t="n">
        <v>1</v>
      </c>
      <c r="W12" s="30" t="inlineStr">
        <is>
          <t>Полотно</t>
        </is>
      </c>
      <c r="X12" s="30" t="inlineStr">
        <is>
          <t>Размеры в миллиметрах. Ширина × высота.</t>
        </is>
      </c>
    </row>
    <row r="13" ht="25.5" customHeight="1" s="19">
      <c r="A13" s="30" t="n">
        <v>6</v>
      </c>
      <c r="B13" s="30" t="inlineStr">
        <is>
          <t>ДПО</t>
        </is>
      </c>
      <c r="C13" s="30" t="inlineStr">
        <is>
          <t>ДПО</t>
        </is>
      </c>
      <c r="D13" s="30" t="inlineStr">
        <is>
          <t>О</t>
        </is>
      </c>
      <c r="E13" s="30" t="inlineStr">
        <is>
          <t>["ГОСТ 6629-88"]</t>
        </is>
      </c>
      <c r="F13" s="30" t="inlineStr">
        <is>
          <t>ДО 21-9</t>
        </is>
      </c>
      <c r="G13" s="30" t="inlineStr">
        <is>
          <t>CPL</t>
        </is>
      </c>
      <c r="H13" s="30" t="inlineStr">
        <is>
          <t>МДФ</t>
        </is>
      </c>
      <c r="I13" s="30" t="inlineStr">
        <is>
          <t>Каркасно-щитовая</t>
        </is>
      </c>
      <c r="J13" s="30" t="inlineStr">
        <is>
          <t>Для больницы</t>
        </is>
      </c>
      <c r="K13" s="30" t="inlineStr">
        <is>
          <t>—</t>
        </is>
      </c>
      <c r="L13" s="30" t="inlineStr">
        <is>
          <t>1900×550, 600; 2000×400, 550, 600–900</t>
        </is>
      </c>
      <c r="M13" s="30" t="inlineStr">
        <is>
          <t>Коробка+Наличник+Добор+Порог</t>
        </is>
      </c>
      <c r="N13" s="30" t="n">
        <v>6</v>
      </c>
      <c r="O13" s="30" t="inlineStr">
        <is>
          <t>Белый; Миланский орех; Беленый дуб; Венге; Итальянский орех</t>
        </is>
      </c>
      <c r="P13" s="32" t="n">
        <v>12100</v>
      </c>
      <c r="Q13" s="32" t="n">
        <v>3160</v>
      </c>
      <c r="R13" s="32" t="n">
        <v>3900</v>
      </c>
      <c r="S13" s="32" t="n">
        <v>890</v>
      </c>
      <c r="T13" s="32" t="n">
        <v>1280</v>
      </c>
      <c r="U13" s="34">
        <f>SUM(P13:T13)</f>
        <v/>
      </c>
      <c r="V13" s="30" t="n">
        <v>1</v>
      </c>
      <c r="W13" s="30" t="inlineStr">
        <is>
          <t>Полотно</t>
        </is>
      </c>
      <c r="X13" s="30" t="inlineStr">
        <is>
          <t>Размеры в миллиметрах. Ширина × высота.</t>
        </is>
      </c>
    </row>
    <row r="14" ht="38.25" customHeight="1" s="19">
      <c r="A14" s="30" t="n">
        <v>7</v>
      </c>
      <c r="B14" s="30" t="inlineStr">
        <is>
          <t>ДПО с иллюминатором</t>
        </is>
      </c>
      <c r="C14" s="30" t="inlineStr">
        <is>
          <t>ДПО</t>
        </is>
      </c>
      <c r="D14" s="30" t="inlineStr">
        <is>
          <t>О (иллюминатор)</t>
        </is>
      </c>
      <c r="E14" s="30" t="inlineStr">
        <is>
          <t>["ГОСТ 6629-88"]</t>
        </is>
      </c>
      <c r="F14" s="30" t="inlineStr">
        <is>
          <t>ДО 21-9</t>
        </is>
      </c>
      <c r="G14" s="30" t="inlineStr">
        <is>
          <t>CPL</t>
        </is>
      </c>
      <c r="H14" s="30" t="inlineStr">
        <is>
          <t>МДФ</t>
        </is>
      </c>
      <c r="I14" s="30" t="inlineStr">
        <is>
          <t>Каркасно-щитовая</t>
        </is>
      </c>
      <c r="J14" s="30" t="inlineStr">
        <is>
          <t>Для ресторанов</t>
        </is>
      </c>
      <c r="K14" s="30" t="inlineStr">
        <is>
          <t>—</t>
        </is>
      </c>
      <c r="L14" s="30" t="inlineStr">
        <is>
          <t>1900×550, 600; 2000×400, 550, 600–900</t>
        </is>
      </c>
      <c r="M14" s="30" t="inlineStr">
        <is>
          <t>Коробка+Наличник+Добор+Порог</t>
        </is>
      </c>
      <c r="N14" s="30" t="n">
        <v>6</v>
      </c>
      <c r="O14" s="30" t="inlineStr">
        <is>
          <t>Белый; Миланский орех; Беленый дуб; Венге; Итальянский орех</t>
        </is>
      </c>
      <c r="P14" s="32" t="n">
        <v>13900</v>
      </c>
      <c r="Q14" s="32" t="n">
        <v>3160</v>
      </c>
      <c r="R14" s="32" t="n">
        <v>3900</v>
      </c>
      <c r="S14" s="32" t="n">
        <v>890</v>
      </c>
      <c r="T14" s="32" t="n">
        <v>1280</v>
      </c>
      <c r="U14" s="34">
        <f>SUM(P14:T14)</f>
        <v/>
      </c>
      <c r="V14" s="30" t="n">
        <v>1</v>
      </c>
      <c r="W14" s="30" t="inlineStr">
        <is>
          <t>Полотно</t>
        </is>
      </c>
      <c r="X14" s="30" t="inlineStr">
        <is>
          <t>Размеры в миллиметрах. Ширина × высота.</t>
        </is>
      </c>
    </row>
    <row r="15" ht="51" customHeight="1" s="19">
      <c r="A15" s="30" t="n">
        <v>8</v>
      </c>
      <c r="B15" s="30" t="inlineStr">
        <is>
          <t>ДМ/ДС-1-Г-МДФ-CPL, сметный заказной блок</t>
        </is>
      </c>
      <c r="C15" s="30" t="inlineStr">
        <is>
          <t>ДМ/ДС, Г, МДФ, CPL</t>
        </is>
      </c>
      <c r="D15" s="30" t="inlineStr">
        <is>
          <t>Г</t>
        </is>
      </c>
      <c r="E15" s="30" t="inlineStr">
        <is>
          <t>["ГОСТ 6629-88"]</t>
        </is>
      </c>
      <c r="F15" s="30" t="inlineStr">
        <is>
          <t>ДГ 21-9</t>
        </is>
      </c>
      <c r="G15" s="30" t="inlineStr">
        <is>
          <t>CPL</t>
        </is>
      </c>
      <c r="H15" s="30" t="inlineStr">
        <is>
          <t>МДФ</t>
        </is>
      </c>
      <c r="I15" s="30" t="inlineStr">
        <is>
          <t>—</t>
        </is>
      </c>
      <c r="J15" s="30" t="inlineStr">
        <is>
          <t>Межкомнатная / санузел</t>
        </is>
      </c>
      <c r="K15" s="30" t="inlineStr">
        <is>
          <t>—</t>
        </is>
      </c>
      <c r="L15" s="30" t="inlineStr">
        <is>
          <t>Проём Ш×В: 700, 800, 900×2100</t>
        </is>
      </c>
      <c r="M15" s="30" t="inlineStr">
        <is>
          <t>Коробка (в блоке)+Наличник+Добор+Порог</t>
        </is>
      </c>
      <c r="N15" s="30" t="n">
        <v>5</v>
      </c>
      <c r="O15" s="30" t="inlineStr">
        <is>
          <t>Белый; Миланский орех; Беленый дуб; Венге; Итальянский орех</t>
        </is>
      </c>
      <c r="P15" s="32">
        <f>P12+Q12</f>
        <v/>
      </c>
      <c r="Q15" s="33" t="inlineStr">
        <is>
          <t>Включена</t>
        </is>
      </c>
      <c r="R15" s="32" t="n">
        <v>3900</v>
      </c>
      <c r="S15" s="32" t="n">
        <v>890</v>
      </c>
      <c r="T15" s="32" t="n">
        <v>1280</v>
      </c>
      <c r="U15" s="34">
        <f>SUM(P15:T15)</f>
        <v/>
      </c>
      <c r="V15" s="30" t="n">
        <v>1</v>
      </c>
      <c r="W15" s="30" t="inlineStr">
        <is>
          <t>Сметная сборка: полотно INT-005 (8800 руб.) и коробка (3160 руб.). Наличники, доборы, порог и фурнитура отдельно.</t>
        </is>
      </c>
      <c r="X15" s="30" t="inlineStr">
        <is>
          <t>Расчётный комплект из действующего прайса. База 8800+3160=11960 руб. Номинал 700/800/900×2100 принят стандартным заказным типоразмером; это не физический размер полотна или коробки. CPL белый предложен для сметы, поскольку отделка в письме не задана. Мд1, влагостойкость полного блока, длины погонажа и размеры полотна подтверждает производство.</t>
        </is>
      </c>
    </row>
    <row r="16" ht="15" customHeight="1" s="19">
      <c r="A16" s="26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48" t="n"/>
    </row>
    <row r="17" ht="15" customHeight="1" s="19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2" t="n"/>
      <c r="Q17" s="33" t="n"/>
      <c r="R17" s="33" t="n"/>
      <c r="S17" s="33" t="n"/>
      <c r="T17" s="33" t="n"/>
      <c r="U17" s="34" t="n"/>
      <c r="V17" s="30" t="n"/>
      <c r="W17" s="30" t="n"/>
      <c r="X17" s="30" t="n"/>
    </row>
    <row r="18" ht="15" customHeight="1" s="19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2" t="n"/>
      <c r="Q18" s="33" t="n"/>
      <c r="R18" s="33" t="n"/>
      <c r="S18" s="33" t="n"/>
      <c r="T18" s="33" t="n"/>
      <c r="U18" s="34" t="n"/>
      <c r="V18" s="30" t="n"/>
      <c r="W18" s="30" t="n"/>
      <c r="X18" s="30" t="n"/>
    </row>
    <row r="19" ht="25.5" customHeight="1" s="19">
      <c r="A19" s="30" t="n">
        <v>9</v>
      </c>
      <c r="B19" s="30" t="inlineStr">
        <is>
          <t>Гост Л-21 ПГ</t>
        </is>
      </c>
      <c r="C19" s="30" t="inlineStr">
        <is>
          <t>ПГ</t>
        </is>
      </c>
      <c r="D19" s="30" t="inlineStr">
        <is>
          <t>Г</t>
        </is>
      </c>
      <c r="E19" s="30" t="inlineStr">
        <is>
          <t>["ГОСТ 475-2016"]</t>
        </is>
      </c>
      <c r="F19" s="30" t="inlineStr">
        <is>
          <t>ДМ 1Рп 21×9 Г ПрБ Мд_ ГОСТ 475-2016</t>
        </is>
      </c>
      <c r="G19" s="30" t="inlineStr">
        <is>
          <t>Ламинированные</t>
        </is>
      </c>
      <c r="H19" s="30" t="inlineStr">
        <is>
          <t>—</t>
        </is>
      </c>
      <c r="I19" s="30" t="inlineStr">
        <is>
          <t>Каркасно-щитовая</t>
        </is>
      </c>
      <c r="J19" s="30" t="inlineStr">
        <is>
          <t>Строительная</t>
        </is>
      </c>
      <c r="K19" s="30" t="inlineStr">
        <is>
          <t>—</t>
        </is>
      </c>
      <c r="L19" s="30" t="inlineStr">
        <is>
          <t>1900×550, 600; 2000×600–900</t>
        </is>
      </c>
      <c r="M19" s="30" t="inlineStr">
        <is>
          <t>Коробка+Наличник+Добор</t>
        </is>
      </c>
      <c r="N19" s="30" t="n">
        <v>1</v>
      </c>
      <c r="O19" s="30" t="inlineStr">
        <is>
          <t>Беленый дуб</t>
        </is>
      </c>
      <c r="P19" s="32" t="n">
        <v>2800</v>
      </c>
      <c r="Q19" s="32" t="n">
        <v>2240</v>
      </c>
      <c r="R19" s="32" t="n">
        <v>1570</v>
      </c>
      <c r="S19" s="32" t="n">
        <v>750</v>
      </c>
      <c r="T19" s="33" t="inlineStr">
        <is>
          <t>—</t>
        </is>
      </c>
      <c r="U19" s="34">
        <f>SUM(P19:T19)</f>
        <v/>
      </c>
      <c r="V19" s="30" t="n">
        <v>1</v>
      </c>
      <c r="W19" s="30" t="inlineStr">
        <is>
          <t>Полотно</t>
        </is>
      </c>
      <c r="X19" s="30" t="inlineStr">
        <is>
          <t>Размеры в миллиметрах. Ширина × высота.</t>
        </is>
      </c>
    </row>
    <row r="20" ht="25.5" customHeight="1" s="19">
      <c r="A20" s="30" t="n">
        <v>10</v>
      </c>
      <c r="B20" s="30" t="inlineStr">
        <is>
          <t>ДПГ усиленная</t>
        </is>
      </c>
      <c r="C20" s="30" t="inlineStr">
        <is>
          <t>ДПГ</t>
        </is>
      </c>
      <c r="D20" s="30" t="inlineStr">
        <is>
          <t>Г</t>
        </is>
      </c>
      <c r="E20" s="30" t="inlineStr">
        <is>
          <t>["ГОСТ 475-2016"]</t>
        </is>
      </c>
      <c r="F20" s="30" t="inlineStr">
        <is>
          <t>ДМ 1Рп 21×9 Г ПрБ Мд_ ГОСТ 475-2016</t>
        </is>
      </c>
      <c r="G20" s="30" t="inlineStr">
        <is>
          <t>Шпон</t>
        </is>
      </c>
      <c r="H20" s="30" t="inlineStr">
        <is>
          <t>Массив сосны</t>
        </is>
      </c>
      <c r="I20" s="30" t="inlineStr">
        <is>
          <t>Усиленная</t>
        </is>
      </c>
      <c r="J20" s="30" t="inlineStr">
        <is>
          <t>Для школы</t>
        </is>
      </c>
      <c r="K20" s="30" t="inlineStr">
        <is>
          <t>—</t>
        </is>
      </c>
      <c r="L20" s="30" t="inlineStr">
        <is>
          <t>1900×550, 600; 2000×600–900</t>
        </is>
      </c>
      <c r="M20" s="30" t="inlineStr">
        <is>
          <t>Коробка+Наличник+Добор+Порог</t>
        </is>
      </c>
      <c r="N20" s="30" t="n">
        <v>1</v>
      </c>
      <c r="O20" s="30" t="inlineStr">
        <is>
          <t>Макоре,Белый; Миланский орех; Беленый дуб; Венге; Итальянский орех</t>
        </is>
      </c>
      <c r="P20" s="32" t="n">
        <v>7000</v>
      </c>
      <c r="Q20" s="32" t="n">
        <v>2040</v>
      </c>
      <c r="R20" s="32" t="n">
        <v>1530</v>
      </c>
      <c r="S20" s="32" t="n">
        <v>440</v>
      </c>
      <c r="T20" s="32" t="n">
        <v>1250</v>
      </c>
      <c r="U20" s="34">
        <f>SUM(P20:T20)</f>
        <v/>
      </c>
      <c r="V20" s="30" t="n">
        <v>1</v>
      </c>
      <c r="W20" s="30" t="inlineStr">
        <is>
          <t>Полотно</t>
        </is>
      </c>
      <c r="X20" s="30" t="inlineStr">
        <is>
          <t>Размеры в миллиметрах. Ширина × высота.</t>
        </is>
      </c>
    </row>
    <row r="21" ht="25.5" customHeight="1" s="19">
      <c r="A21" s="30" t="n">
        <v>11</v>
      </c>
      <c r="B21" s="30" t="inlineStr">
        <is>
          <t>ДПГ ПВХ</t>
        </is>
      </c>
      <c r="C21" s="30" t="inlineStr">
        <is>
          <t>ДПГ, ПВХ</t>
        </is>
      </c>
      <c r="D21" s="30" t="inlineStr">
        <is>
          <t>Г</t>
        </is>
      </c>
      <c r="E21" s="30" t="inlineStr">
        <is>
          <t>["ГОСТ 475-2016"]</t>
        </is>
      </c>
      <c r="F21" s="30" t="inlineStr">
        <is>
          <t>ДМ 1Рп 21×9 Г ПрБ Мд_ ГОСТ 475-2016</t>
        </is>
      </c>
      <c r="G21" s="30" t="inlineStr">
        <is>
          <t>ПВХ</t>
        </is>
      </c>
      <c r="H21" s="30" t="inlineStr">
        <is>
          <t>МДФ</t>
        </is>
      </c>
      <c r="I21" s="30" t="inlineStr">
        <is>
          <t>Усиленная</t>
        </is>
      </c>
      <c r="J21" s="30" t="inlineStr">
        <is>
          <t>Строительная</t>
        </is>
      </c>
      <c r="K21" s="30" t="inlineStr">
        <is>
          <t>—</t>
        </is>
      </c>
      <c r="L21" s="30" t="inlineStr">
        <is>
          <t>1900×550, 600; 2000×600–900</t>
        </is>
      </c>
      <c r="M21" s="30" t="inlineStr">
        <is>
          <t>Коробка+Наличник+Добор</t>
        </is>
      </c>
      <c r="N21" s="30" t="n">
        <v>5</v>
      </c>
      <c r="O21" s="30" t="inlineStr">
        <is>
          <t>Белый; Миланский орех; Беленый дуб; Венге; Итальянский орех</t>
        </is>
      </c>
      <c r="P21" s="32" t="n">
        <v>5800</v>
      </c>
      <c r="Q21" s="32" t="n">
        <v>2600</v>
      </c>
      <c r="R21" s="32" t="n">
        <v>830</v>
      </c>
      <c r="S21" s="32" t="n">
        <v>790</v>
      </c>
      <c r="T21" s="33" t="inlineStr">
        <is>
          <t>—</t>
        </is>
      </c>
      <c r="U21" s="34">
        <f>SUM(P21:T21)</f>
        <v/>
      </c>
      <c r="V21" s="30" t="n">
        <v>1</v>
      </c>
      <c r="W21" s="30" t="inlineStr">
        <is>
          <t>Полотно</t>
        </is>
      </c>
      <c r="X21" s="30" t="inlineStr">
        <is>
          <t>Размеры в миллиметрах. Ширина × высота.</t>
        </is>
      </c>
    </row>
    <row r="22" ht="25.5" customHeight="1" s="19">
      <c r="A22" s="30" t="n">
        <v>12</v>
      </c>
      <c r="B22" s="30" t="inlineStr">
        <is>
          <t>ДПО</t>
        </is>
      </c>
      <c r="C22" s="30" t="inlineStr">
        <is>
          <t>ДПО</t>
        </is>
      </c>
      <c r="D22" s="30" t="inlineStr">
        <is>
          <t>О</t>
        </is>
      </c>
      <c r="E22" s="30" t="inlineStr">
        <is>
          <t>["ГОСТ 475-2016"]</t>
        </is>
      </c>
      <c r="F22" s="30" t="inlineStr">
        <is>
          <t>ДМ 1Рп 21×9 О ПрБ Мд_ ГОСТ 475-2016</t>
        </is>
      </c>
      <c r="G22" s="30" t="inlineStr">
        <is>
          <t>ПВХ</t>
        </is>
      </c>
      <c r="H22" s="30" t="inlineStr">
        <is>
          <t>МДФ</t>
        </is>
      </c>
      <c r="I22" s="30" t="inlineStr">
        <is>
          <t>Каркасно-щитовая</t>
        </is>
      </c>
      <c r="J22" s="30" t="inlineStr">
        <is>
          <t>Строительная</t>
        </is>
      </c>
      <c r="K22" s="30" t="inlineStr">
        <is>
          <t>—</t>
        </is>
      </c>
      <c r="L22" s="30" t="inlineStr">
        <is>
          <t>1900×600; 2000×600–900</t>
        </is>
      </c>
      <c r="M22" s="30" t="inlineStr">
        <is>
          <t>Коробка+Наличник+Добор</t>
        </is>
      </c>
      <c r="N22" s="30" t="n">
        <v>3</v>
      </c>
      <c r="O22" s="30" t="inlineStr">
        <is>
          <t>Белый; Серый; Венге; Миланский орех; Беленый дуб; Венге; Итальянский орех</t>
        </is>
      </c>
      <c r="P22" s="32" t="n">
        <v>7300</v>
      </c>
      <c r="Q22" s="32" t="n">
        <v>2600</v>
      </c>
      <c r="R22" s="32" t="n">
        <v>2000</v>
      </c>
      <c r="S22" s="32" t="n">
        <v>710</v>
      </c>
      <c r="T22" s="33" t="inlineStr">
        <is>
          <t>—</t>
        </is>
      </c>
      <c r="U22" s="34">
        <f>SUM(P22:T22)</f>
        <v/>
      </c>
      <c r="V22" s="30" t="n">
        <v>1</v>
      </c>
      <c r="W22" s="30" t="inlineStr">
        <is>
          <t>Полотно</t>
        </is>
      </c>
      <c r="X22" s="30" t="inlineStr">
        <is>
          <t>Размеры в миллиметрах. Ширина × высота.</t>
        </is>
      </c>
    </row>
    <row r="23" ht="85.5" customHeight="1" s="19">
      <c r="A23" s="30" t="n">
        <v>13</v>
      </c>
      <c r="B23" s="30" t="inlineStr">
        <is>
          <t>ДПГ CPL</t>
        </is>
      </c>
      <c r="C23" s="30" t="inlineStr">
        <is>
          <t xml:space="preserve">ДПГ CPL </t>
        </is>
      </c>
      <c r="D23" s="30" t="inlineStr">
        <is>
          <t>Г</t>
        </is>
      </c>
      <c r="E23" s="30" t="inlineStr">
        <is>
          <t>["ГОСТ 475-2016"]</t>
        </is>
      </c>
      <c r="F23" s="30" t="inlineStr">
        <is>
          <t>ДВ 1Рп Г ПрБ М3 ГОСТ 475-2016.  Мд3</t>
        </is>
      </c>
      <c r="G23" s="30" t="inlineStr">
        <is>
          <t xml:space="preserve">CPL 0,2 мм </t>
        </is>
      </c>
      <c r="H23" s="30" t="inlineStr">
        <is>
          <t>Дерево / древесные материалы</t>
        </is>
      </c>
      <c r="I23" s="30" t="inlineStr">
        <is>
          <t>Полнозаполненная, однопольная, распашная, без порога. Усиление под доводчик.</t>
        </is>
      </c>
      <c r="J23" s="30" t="inlineStr">
        <is>
          <t>Внутренняя, общественные помещения</t>
        </is>
      </c>
      <c r="K23" s="30" t="inlineStr">
        <is>
          <t>Не заявлены</t>
        </is>
      </c>
      <c r="L23" s="30" t="inlineStr">
        <is>
          <t>Блок Ш×В: 1010×2100; 910×2100; 810×2100; 710×2100;610×2100.</t>
        </is>
      </c>
      <c r="M23" s="30" t="inlineStr">
        <is>
          <t>Коробка, 3 петли, уплотнитель, замок ключ/ключ, ручки, доводчик, врезка. Наличники с двух сторон.</t>
        </is>
      </c>
      <c r="N23" s="30" t="n">
        <v>1</v>
      </c>
      <c r="O23" s="30" t="inlineStr">
        <is>
          <t>Светло-серый. Белый, Серый, Венге, Беленый Дую</t>
        </is>
      </c>
      <c r="P23" s="35" t="n">
        <v>23900</v>
      </c>
      <c r="Q23" s="36" t="inlineStr">
        <is>
          <t>Включена</t>
        </is>
      </c>
      <c r="R23" s="35" t="n">
        <v>2000</v>
      </c>
      <c r="S23" s="36" t="inlineStr">
        <is>
          <t>—</t>
        </is>
      </c>
      <c r="T23" s="36" t="inlineStr">
        <is>
          <t>—</t>
        </is>
      </c>
      <c r="U23" s="37">
        <f>SUM(P23:T23)</f>
        <v/>
      </c>
      <c r="V23" s="30" t="n">
        <v>1</v>
      </c>
      <c r="W23" s="30" t="inlineStr">
        <is>
          <t>Коробка, 3 петли, уплотнитель, замок ключ/ключ, ручки, доводчик, врезка. Наличники оплачиваются отдельно.</t>
        </is>
      </c>
      <c r="X23" s="30" t="inlineStr">
        <is>
          <t>Размеры в миллиметрах. Ширина × высота.</t>
        </is>
      </c>
    </row>
    <row r="24" ht="85.5" customHeight="1" s="19">
      <c r="A24" s="30" t="n">
        <v>14</v>
      </c>
      <c r="B24" s="30" t="inlineStr">
        <is>
          <t>ДПО CPL</t>
        </is>
      </c>
      <c r="C24" s="30" t="inlineStr">
        <is>
          <t xml:space="preserve">ДПО CPL </t>
        </is>
      </c>
      <c r="D24" s="30" t="inlineStr">
        <is>
          <t>О</t>
        </is>
      </c>
      <c r="E24" s="30" t="inlineStr">
        <is>
          <t>["ГОСТ 475-2016"]</t>
        </is>
      </c>
      <c r="F24" s="30" t="inlineStr">
        <is>
          <t>ДВ 1Рп О ПрБ М3 ГОСТ 475-2016.  Мд3</t>
        </is>
      </c>
      <c r="G24" s="30" t="inlineStr">
        <is>
          <t xml:space="preserve">CPL 0,2 мм </t>
        </is>
      </c>
      <c r="H24" s="30" t="inlineStr">
        <is>
          <t>Дерево / древесные материалы</t>
        </is>
      </c>
      <c r="I24" s="30" t="inlineStr">
        <is>
          <t>Остеклённая, однопольная, распашная, без порога. Усиление под доводчик.</t>
        </is>
      </c>
      <c r="J24" s="30" t="inlineStr">
        <is>
          <t>Внутренняя, общественные помещения</t>
        </is>
      </c>
      <c r="K24" s="30" t="inlineStr">
        <is>
          <t>Не заявлены</t>
        </is>
      </c>
      <c r="L24" s="30" t="inlineStr">
        <is>
          <t>Блок Ш×В: 1010×2100; 910×2100; 810×2100; 710×2100;610×2100.</t>
        </is>
      </c>
      <c r="M24" s="30" t="inlineStr">
        <is>
          <t>Коробка, 3 петли, уплотнитель, замок ключ/ключ, ручки, доводчик, врезка. Наличники с двух сторон.</t>
        </is>
      </c>
      <c r="N24" s="30" t="n">
        <v>1</v>
      </c>
      <c r="O24" s="30" t="inlineStr">
        <is>
          <t>Светло-серый. Белый, Серый, Венге, Беленый Дую</t>
        </is>
      </c>
      <c r="P24" s="35" t="n">
        <v>25900</v>
      </c>
      <c r="Q24" s="36" t="inlineStr">
        <is>
          <t>Включена</t>
        </is>
      </c>
      <c r="R24" s="35" t="n">
        <v>2000</v>
      </c>
      <c r="S24" s="36" t="inlineStr">
        <is>
          <t>—</t>
        </is>
      </c>
      <c r="T24" s="36" t="inlineStr">
        <is>
          <t>—</t>
        </is>
      </c>
      <c r="U24" s="37">
        <f>SUM(P24:T24)</f>
        <v/>
      </c>
      <c r="V24" s="30" t="n">
        <v>1</v>
      </c>
      <c r="W24" s="30" t="inlineStr">
        <is>
          <t>Коробка, 3 петли, уплотнитель, замок ключ/ключ, ручки, доводчик, врезка. Наличники оплачиваются отдельно.</t>
        </is>
      </c>
      <c r="X24" s="30" t="inlineStr">
        <is>
          <t>Размеры в миллиметрах. Ширина × высота.</t>
        </is>
      </c>
    </row>
    <row r="25" ht="51" customHeight="1" s="19">
      <c r="A25" s="30" t="n">
        <v>15</v>
      </c>
      <c r="B25" s="30" t="inlineStr">
        <is>
          <t>Модель-0 ПГ Ash White, полотно для раздвижной системы</t>
        </is>
      </c>
      <c r="C25" s="30" t="inlineStr">
        <is>
          <t>ПГ</t>
        </is>
      </c>
      <c r="D25" s="30" t="inlineStr">
        <is>
          <t>Г</t>
        </is>
      </c>
      <c r="E25" s="30" t="inlineStr">
        <is>
          <t>["ГОСТ 475-2016"]</t>
        </is>
      </c>
      <c r="F25" s="30" t="inlineStr">
        <is>
          <t>ДМ Р 21×9 Г ПрБ Мд_ ГОСТ 475-2016</t>
        </is>
      </c>
      <c r="G25" s="30" t="inlineStr">
        <is>
          <t>Экошпон</t>
        </is>
      </c>
      <c r="H25" s="30" t="inlineStr">
        <is>
          <t>МДФ</t>
        </is>
      </c>
      <c r="I25" s="30" t="inlineStr">
        <is>
          <t>Каркасно-щитовая</t>
        </is>
      </c>
      <c r="J25" s="30" t="inlineStr">
        <is>
          <t>Раздвижная система</t>
        </is>
      </c>
      <c r="K25" s="30" t="inlineStr">
        <is>
          <t>—</t>
        </is>
      </c>
      <c r="L25" s="30" t="inlineStr">
        <is>
          <t>2000×600, 700, 800, 900</t>
        </is>
      </c>
      <c r="M25" s="30" t="inlineStr">
        <is>
          <t>—</t>
        </is>
      </c>
      <c r="N25" s="30" t="n">
        <v>1</v>
      </c>
      <c r="O25" s="30" t="inlineStr">
        <is>
          <t>Ash White / Эш Вайт</t>
        </is>
      </c>
      <c r="P25" s="32" t="n">
        <v>36800</v>
      </c>
      <c r="Q25" s="33" t="inlineStr">
        <is>
          <t>—</t>
        </is>
      </c>
      <c r="R25" s="33" t="inlineStr">
        <is>
          <t>—</t>
        </is>
      </c>
      <c r="S25" s="33" t="inlineStr">
        <is>
          <t>—</t>
        </is>
      </c>
      <c r="T25" s="33" t="inlineStr">
        <is>
          <t>—</t>
        </is>
      </c>
      <c r="U25" s="34">
        <f>SUM(P25:T25)</f>
        <v/>
      </c>
      <c r="V25" s="30" t="n">
        <v>1</v>
      </c>
      <c r="W25" s="30" t="inlineStr">
        <is>
          <t>Полотно. Система раздвижения и ручки оплачиваются отдельно.</t>
        </is>
      </c>
      <c r="X25" s="30" t="inlineStr">
        <is>
          <t>Гладкая поверхность, масса полотна 50 кг. Толщина 30–45 мм и возможность установки выбранной системы уточняются. Это конкретный цветовой вариант; не заменяет ранее действовавшую общую позицию INT-020.</t>
        </is>
      </c>
    </row>
    <row r="26" ht="51" customHeight="1" s="19">
      <c r="A26" s="30" t="n">
        <v>16</v>
      </c>
      <c r="B26" s="30" t="inlineStr">
        <is>
          <t>ДОРС ГШП, глухое грунтованное полотно</t>
        </is>
      </c>
      <c r="C26" s="30" t="inlineStr">
        <is>
          <t>ГШП</t>
        </is>
      </c>
      <c r="D26" s="30" t="inlineStr">
        <is>
          <t>Г</t>
        </is>
      </c>
      <c r="E26" s="30" t="inlineStr">
        <is>
          <t>["ГОСТ 475-2016"]</t>
        </is>
      </c>
      <c r="F26" s="30" t="inlineStr">
        <is>
          <t>ДМ 1Рп 21×9 Г ПрБ Мд_ ГОСТ 475-2016</t>
        </is>
      </c>
      <c r="G26" s="30" t="inlineStr">
        <is>
          <t>Грунт под покраску</t>
        </is>
      </c>
      <c r="H26" s="30" t="inlineStr">
        <is>
          <t>Каркас сосна, МДФ 6 мм</t>
        </is>
      </c>
      <c r="I26" s="30" t="inlineStr">
        <is>
          <t>Каркасная, сотовое заполнение</t>
        </is>
      </c>
      <c r="J26" s="30" t="inlineStr">
        <is>
          <t>—</t>
        </is>
      </c>
      <c r="K26" s="30" t="inlineStr">
        <is>
          <t>—</t>
        </is>
      </c>
      <c r="L26" s="30" t="inlineStr">
        <is>
          <t>1900×550, 600; 2000×600, 700, 800, 850, 900</t>
        </is>
      </c>
      <c r="M26" s="30" t="inlineStr">
        <is>
          <t>Коробка+Наличник</t>
        </is>
      </c>
      <c r="N26" s="30" t="n">
        <v>1</v>
      </c>
      <c r="O26" s="30" t="inlineStr">
        <is>
          <t>Грунт</t>
        </is>
      </c>
      <c r="P26" s="32" t="n">
        <v>6300</v>
      </c>
      <c r="Q26" s="32" t="n">
        <v>1680</v>
      </c>
      <c r="R26" s="32" t="n">
        <v>1400</v>
      </c>
      <c r="S26" s="33" t="inlineStr">
        <is>
          <t>—</t>
        </is>
      </c>
      <c r="T26" s="33" t="inlineStr">
        <is>
          <t>—</t>
        </is>
      </c>
      <c r="U26" s="34">
        <f>SUM(P26:T26)</f>
        <v/>
      </c>
      <c r="V26" s="30" t="n">
        <v>1</v>
      </c>
      <c r="W26" s="30" t="inlineStr">
        <is>
          <t>Полотно. Коробка, наличники и вся фурнитура оплачиваются отдельно.</t>
        </is>
      </c>
      <c r="X26" s="30" t="inlineStr">
        <is>
          <t>Толщина 40 мм. Цена 6300 опубликована с условием от 20 блоков: для единичной заявки это ориентир, условия поставки уточнить. Коробка: расчётный комплект 3 стойки ЛВЛ/М 2070×70×32 по 560; наличники: 5 шт. 65×6×2100 по 280. Совместимость профилей и длины для нестандарта уточняется; класс Мд3 не присвоен.</t>
        </is>
      </c>
    </row>
    <row r="27" ht="51" customHeight="1" s="19">
      <c r="A27" s="30" t="n">
        <v>17</v>
      </c>
      <c r="B27" s="30" t="inlineStr">
        <is>
          <t>ДС-1-Г-ВЛ-ПВХ, влагостойкий блок ДГ-1-Пульс, белый</t>
        </is>
      </c>
      <c r="C27" s="30" t="inlineStr">
        <is>
          <t>ДС, ДГ, ВЛ, ПВХ</t>
        </is>
      </c>
      <c r="D27" s="30" t="inlineStr">
        <is>
          <t>Г</t>
        </is>
      </c>
      <c r="E27" s="30" t="inlineStr">
        <is>
          <t>["ГОСТ 475-2016"]</t>
        </is>
      </c>
      <c r="F27" s="30" t="inlineStr">
        <is>
          <t>ДС 1Рп 21×9 Г Пр Мд_ ГОСТ 475-2016</t>
        </is>
      </c>
      <c r="G27" s="30" t="inlineStr">
        <is>
          <t>ПВХ 1,5 мм</t>
        </is>
      </c>
      <c r="H27" s="30" t="inlineStr">
        <is>
          <t>Композит: влагостойкий деревянный брус, ПВХ, пенополистирол</t>
        </is>
      </c>
      <c r="I27" s="30" t="inlineStr">
        <is>
          <t>Влагостойкая, телескопическая коробка 80 мм</t>
        </is>
      </c>
      <c r="J27" s="30" t="inlineStr">
        <is>
          <t>Санузел</t>
        </is>
      </c>
      <c r="K27" s="30" t="inlineStr">
        <is>
          <t>—</t>
        </is>
      </c>
      <c r="L27" s="30" t="inlineStr">
        <is>
          <t>Проём Ш×В: 700, 800, 900×2100</t>
        </is>
      </c>
      <c r="M27" s="30" t="inlineStr">
        <is>
          <t>Коробка (в блоке)+Порог</t>
        </is>
      </c>
      <c r="N27" s="30" t="n">
        <v>1</v>
      </c>
      <c r="O27" s="30" t="inlineStr">
        <is>
          <t>RAL 9016, белый</t>
        </is>
      </c>
      <c r="P27" s="32" t="n">
        <v>18020</v>
      </c>
      <c r="Q27" s="33" t="inlineStr">
        <is>
          <t>Включена</t>
        </is>
      </c>
      <c r="R27" s="33" t="inlineStr">
        <is>
          <t>—</t>
        </is>
      </c>
      <c r="S27" s="33" t="inlineStr">
        <is>
          <t>—</t>
        </is>
      </c>
      <c r="T27" s="32" t="n">
        <v>1420</v>
      </c>
      <c r="U27" s="34">
        <f>SUM(P27:T27)</f>
        <v/>
      </c>
      <c r="V27" s="30" t="n">
        <v>1</v>
      </c>
      <c r="W27" s="30" t="inlineStr">
        <is>
          <t>Полотно, телескопическая коробка 80 мм, уплотнитель, заводская фрезеровка под замок. Фурнитура OPT-007 и порог оплачиваются отдельно.</t>
        </is>
      </c>
      <c r="X27" s="30" t="inlineStr">
        <is>
          <t>Заказной типоразмер блока по проёму, не физический габарит коробки. 700/800/900×2100 считаются стандартными без надбавки. База — розничный рыночный ориентир 18020 руб. Порог 1420 руб. Фурнитура отдельно. Наличники и добор не включены. Сроки и адрес отгрузки уточняются у менеджера.</t>
        </is>
      </c>
    </row>
    <row r="28" ht="51" customHeight="1" s="19">
      <c r="A28" s="30" t="n">
        <v>18</v>
      </c>
      <c r="B28" s="30" t="inlineStr">
        <is>
          <t>Верда Техно ДГ Белый, МДФ в полипропилене</t>
        </is>
      </c>
      <c r="C28" s="30" t="inlineStr">
        <is>
          <t>ДГ</t>
        </is>
      </c>
      <c r="D28" s="30" t="inlineStr">
        <is>
          <t>Г</t>
        </is>
      </c>
      <c r="E28" s="30" t="inlineStr">
        <is>
          <t>["ГОСТ 475-2016"]</t>
        </is>
      </c>
      <c r="F28" s="30" t="inlineStr">
        <is>
          <t>ДМ 1Рп 21×9 Г ПрБ Мд_ ГОСТ 475-2016</t>
        </is>
      </c>
      <c r="G28" s="30" t="inlineStr">
        <is>
          <t>Полипропилен</t>
        </is>
      </c>
      <c r="H28" s="30" t="inlineStr">
        <is>
          <t>МДФ</t>
        </is>
      </c>
      <c r="I28" s="30" t="inlineStr">
        <is>
          <t>Каркасно-щитовая</t>
        </is>
      </c>
      <c r="J28" s="30" t="inlineStr">
        <is>
          <t>—</t>
        </is>
      </c>
      <c r="K28" s="30" t="inlineStr">
        <is>
          <t>—</t>
        </is>
      </c>
      <c r="L28" s="30" t="inlineStr">
        <is>
          <t>2000×600, 700, 800, 900</t>
        </is>
      </c>
      <c r="M28" s="30" t="inlineStr">
        <is>
          <t>Коробка+Наличник+Добор</t>
        </is>
      </c>
      <c r="N28" s="30" t="n">
        <v>1</v>
      </c>
      <c r="O28" s="30" t="inlineStr">
        <is>
          <t>Белый</t>
        </is>
      </c>
      <c r="P28" s="32" t="n">
        <v>7620</v>
      </c>
      <c r="Q28" s="32" t="n">
        <v>2310</v>
      </c>
      <c r="R28" s="32" t="n">
        <v>2350</v>
      </c>
      <c r="S28" s="32" t="n">
        <v>1530</v>
      </c>
      <c r="T28" s="33" t="inlineStr">
        <is>
          <t>—</t>
        </is>
      </c>
      <c r="U28" s="34">
        <f>SUM(P28:T28)</f>
        <v/>
      </c>
      <c r="V28" s="30" t="n">
        <v>1</v>
      </c>
      <c r="W28" s="30" t="inlineStr">
        <is>
          <t>Полотно. Коробка, наличники, доборы и фурнитура оплачиваются отдельно.</t>
        </is>
      </c>
      <c r="X28" s="30" t="inlineStr">
        <is>
          <t>Белый базовый вариант. Мд1 и пригодность для санузла документально не подтверждены. Коробка: 3 стойки 770 руб.; наличники: 5 планок 470 руб.; доборы 100 мм: 3 планки 510 руб. Это предложенный комплект; ширину доборов, раскрой и фактические размеры полотна согласовать. Проём 21-8/21-9 автоматически в полотно не переводится.</t>
        </is>
      </c>
    </row>
    <row r="29" ht="15" customHeight="1" s="1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2" t="n"/>
      <c r="Q29" s="32" t="n"/>
      <c r="R29" s="32" t="n"/>
      <c r="S29" s="32" t="n"/>
      <c r="T29" s="32" t="n"/>
      <c r="U29" s="34" t="n"/>
      <c r="V29" s="30" t="n"/>
      <c r="W29" s="30" t="n"/>
      <c r="X29" s="30" t="n"/>
    </row>
    <row r="30" ht="15" customHeight="1" s="19">
      <c r="A30" s="26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48" t="n"/>
    </row>
    <row r="31" ht="15" customHeight="1" s="19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2" t="n"/>
      <c r="Q31" s="32" t="n"/>
      <c r="R31" s="32" t="n"/>
      <c r="S31" s="32" t="n"/>
      <c r="T31" s="33" t="n"/>
      <c r="U31" s="34" t="n"/>
      <c r="V31" s="30" t="n"/>
      <c r="W31" s="30" t="n"/>
      <c r="X31" s="30" t="n"/>
    </row>
    <row r="32" ht="15" customHeight="1" s="19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2" t="n"/>
      <c r="Q32" s="32" t="n"/>
      <c r="R32" s="32" t="n"/>
      <c r="S32" s="32" t="n"/>
      <c r="T32" s="33" t="n"/>
      <c r="U32" s="34" t="n"/>
      <c r="V32" s="30" t="n"/>
      <c r="W32" s="30" t="n"/>
      <c r="X32" s="30" t="n"/>
    </row>
    <row r="33" ht="15" customHeight="1" s="19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2" t="n"/>
      <c r="Q33" s="32" t="n"/>
      <c r="R33" s="32" t="n"/>
      <c r="S33" s="32" t="n"/>
      <c r="T33" s="33" t="n"/>
      <c r="U33" s="34" t="n"/>
      <c r="V33" s="30" t="n"/>
      <c r="W33" s="30" t="n"/>
      <c r="X33" s="30" t="n"/>
    </row>
    <row r="34" ht="15" customHeight="1" s="19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2" t="n"/>
      <c r="Q34" s="32" t="n"/>
      <c r="R34" s="32" t="n"/>
      <c r="S34" s="32" t="n"/>
      <c r="T34" s="33" t="n"/>
      <c r="U34" s="34" t="n"/>
      <c r="V34" s="30" t="n"/>
      <c r="W34" s="30" t="n"/>
      <c r="X34" s="30" t="n"/>
    </row>
    <row r="35" ht="15" customHeight="1" s="19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2" t="n"/>
      <c r="Q35" s="32" t="n"/>
      <c r="R35" s="32" t="n"/>
      <c r="S35" s="32" t="n"/>
      <c r="T35" s="33" t="n"/>
      <c r="U35" s="34" t="n"/>
      <c r="V35" s="30" t="n"/>
      <c r="W35" s="30" t="n"/>
      <c r="X35" s="30" t="n"/>
    </row>
    <row r="36" ht="15" customHeight="1" s="19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2" t="n"/>
      <c r="Q36" s="32" t="n"/>
      <c r="R36" s="32" t="n"/>
      <c r="S36" s="32" t="n"/>
      <c r="T36" s="33" t="n"/>
      <c r="U36" s="34" t="n"/>
      <c r="V36" s="30" t="n"/>
      <c r="W36" s="30" t="n"/>
      <c r="X36" s="30" t="n"/>
    </row>
    <row r="37" ht="15" customHeight="1" s="19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2" t="n"/>
      <c r="Q37" s="32" t="n"/>
      <c r="R37" s="32" t="n"/>
      <c r="S37" s="32" t="n"/>
      <c r="T37" s="33" t="n"/>
      <c r="U37" s="34" t="n"/>
      <c r="V37" s="30" t="n"/>
      <c r="W37" s="30" t="n"/>
      <c r="X37" s="30" t="n"/>
    </row>
    <row r="38" ht="15" customHeight="1" s="19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2" t="n"/>
      <c r="Q38" s="32" t="n"/>
      <c r="R38" s="32" t="n"/>
      <c r="S38" s="32" t="n"/>
      <c r="T38" s="33" t="n"/>
      <c r="U38" s="34" t="n"/>
      <c r="V38" s="30" t="n"/>
      <c r="W38" s="30" t="n"/>
      <c r="X38" s="30" t="n"/>
    </row>
    <row r="39" ht="15" customHeight="1" s="1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2" t="n"/>
      <c r="Q39" s="32" t="n"/>
      <c r="R39" s="32" t="n"/>
      <c r="S39" s="32" t="n"/>
      <c r="T39" s="33" t="n"/>
      <c r="U39" s="34" t="n"/>
      <c r="V39" s="30" t="n"/>
      <c r="W39" s="30" t="n"/>
      <c r="X39" s="30" t="n"/>
    </row>
    <row r="40" ht="38.25" customHeight="1" s="19">
      <c r="A40" s="30" t="n">
        <v>19</v>
      </c>
      <c r="B40" s="30" t="inlineStr">
        <is>
          <t>ДПГ-0</t>
        </is>
      </c>
      <c r="C40" s="30" t="inlineStr">
        <is>
          <t>ДПГ</t>
        </is>
      </c>
      <c r="D40" s="30" t="inlineStr">
        <is>
          <t>Г</t>
        </is>
      </c>
      <c r="E40" s="30" t="inlineStr">
        <is>
          <t>["ГОСТ 26602.3-2016","ГОСТ 475-2016"]</t>
        </is>
      </c>
      <c r="F40" s="30" t="inlineStr">
        <is>
          <t>ДМ 1Рп 21×9 Г ПрБ З_ ГОСТ 475-2016; Rw по ГОСТ 26602.3-2016</t>
        </is>
      </c>
      <c r="G40" s="30" t="inlineStr">
        <is>
          <t>Шпон / экошпон</t>
        </is>
      </c>
      <c r="H40" s="30" t="inlineStr">
        <is>
          <t>МДФ</t>
        </is>
      </c>
      <c r="I40" s="30" t="inlineStr">
        <is>
          <t>Каркасно-щитовая, гладкая, шумоизоляционная</t>
        </is>
      </c>
      <c r="J40" s="30" t="inlineStr">
        <is>
          <t>Офис, гостиница</t>
        </is>
      </c>
      <c r="K40" s="30" t="inlineStr">
        <is>
          <t>35–42 дБ (по сайту)</t>
        </is>
      </c>
      <c r="L40" s="30" t="inlineStr">
        <is>
          <t>2000×600, 700, 800, 900</t>
        </is>
      </c>
      <c r="M40" s="30" t="inlineStr">
        <is>
          <t>Коробка+Наличник+Добор</t>
        </is>
      </c>
      <c r="N40" s="30" t="n">
        <v>4</v>
      </c>
      <c r="O40" s="30" t="inlineStr">
        <is>
          <t>Белый; Миланский орех; Беленый дуб; Венге; Итальянский орех</t>
        </is>
      </c>
      <c r="P40" s="32" t="n">
        <v>22200</v>
      </c>
      <c r="Q40" s="32" t="n">
        <v>5100</v>
      </c>
      <c r="R40" s="32" t="n">
        <v>2500</v>
      </c>
      <c r="S40" s="32" t="n">
        <v>1870</v>
      </c>
      <c r="T40" s="33" t="inlineStr">
        <is>
          <t>—</t>
        </is>
      </c>
      <c r="U40" s="34">
        <f>SUM(P40:T40)</f>
        <v/>
      </c>
      <c r="V40" s="30" t="n">
        <v>1</v>
      </c>
      <c r="W40" s="30" t="inlineStr">
        <is>
          <t>Полотно</t>
        </is>
      </c>
      <c r="X40" s="30" t="inlineStr">
        <is>
          <t>Размеры в миллиметрах. Ширина × высота.</t>
        </is>
      </c>
    </row>
    <row r="41" ht="38.25" customHeight="1" s="19">
      <c r="A41" s="30" t="n">
        <v>20</v>
      </c>
      <c r="B41" s="30" t="inlineStr">
        <is>
          <t>Модель-0 ПГ</t>
        </is>
      </c>
      <c r="C41" s="30" t="inlineStr">
        <is>
          <t>ПГ</t>
        </is>
      </c>
      <c r="D41" s="30" t="inlineStr">
        <is>
          <t>Г</t>
        </is>
      </c>
      <c r="E41" s="30" t="inlineStr">
        <is>
          <t>["ГОСТ 26602.3-2016","ГОСТ 475-2016"]</t>
        </is>
      </c>
      <c r="F41" s="30" t="inlineStr">
        <is>
          <t>ДМ 1Рп 21×9 Г ПрБ З_ ГОСТ 475-2016; Rw по ГОСТ 26602.3-2016</t>
        </is>
      </c>
      <c r="G41" s="30" t="inlineStr">
        <is>
          <t>Экошпон</t>
        </is>
      </c>
      <c r="H41" s="30" t="inlineStr">
        <is>
          <t>МДФ</t>
        </is>
      </c>
      <c r="I41" s="30" t="inlineStr">
        <is>
          <t>Каркасно-щитовая, гладкая, шумоизоляционная</t>
        </is>
      </c>
      <c r="J41" s="30" t="inlineStr">
        <is>
          <t>Офис, гостиница</t>
        </is>
      </c>
      <c r="K41" s="30" t="inlineStr">
        <is>
          <t>35–42 дБ (по сайту)</t>
        </is>
      </c>
      <c r="L41" s="30" t="inlineStr">
        <is>
          <t>2000×600, 700, 800, 900</t>
        </is>
      </c>
      <c r="M41" s="30" t="inlineStr">
        <is>
          <t>Коробка+Наличник+Добор</t>
        </is>
      </c>
      <c r="N41" s="30" t="n">
        <v>5</v>
      </c>
      <c r="O41" s="30" t="inlineStr">
        <is>
          <t>Белый; Миланский орех; Беленый дуб; Венге; Итальянский орех</t>
        </is>
      </c>
      <c r="P41" s="32" t="n">
        <v>21100</v>
      </c>
      <c r="Q41" s="32" t="n">
        <v>5100</v>
      </c>
      <c r="R41" s="32" t="n">
        <v>2500</v>
      </c>
      <c r="S41" s="32" t="n">
        <v>1870</v>
      </c>
      <c r="T41" s="33" t="inlineStr">
        <is>
          <t>—</t>
        </is>
      </c>
      <c r="U41" s="34">
        <f>SUM(P41:T41)</f>
        <v/>
      </c>
      <c r="V41" s="30" t="n">
        <v>1</v>
      </c>
      <c r="W41" s="30" t="inlineStr">
        <is>
          <t>Полотно</t>
        </is>
      </c>
      <c r="X41" s="30" t="inlineStr">
        <is>
          <t>Размеры в миллиметрах. Ширина × высота.</t>
        </is>
      </c>
    </row>
    <row r="42" ht="15" customHeight="1" s="19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2" t="n"/>
      <c r="Q42" s="32" t="n"/>
      <c r="R42" s="32" t="n"/>
      <c r="S42" s="32" t="n"/>
      <c r="T42" s="33" t="n"/>
      <c r="U42" s="34" t="n"/>
      <c r="V42" s="30" t="n"/>
      <c r="W42" s="30" t="n"/>
      <c r="X42" s="30" t="n"/>
    </row>
    <row r="43" ht="15" customHeight="1" s="19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2" t="n"/>
      <c r="Q43" s="32" t="n"/>
      <c r="R43" s="32" t="n"/>
      <c r="S43" s="32" t="n"/>
      <c r="T43" s="33" t="n"/>
      <c r="U43" s="34" t="n"/>
      <c r="V43" s="30" t="n"/>
      <c r="W43" s="30" t="n"/>
      <c r="X43" s="30" t="n"/>
    </row>
    <row r="44" ht="15" customHeight="1" s="19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2" t="n"/>
      <c r="Q44" s="32" t="n"/>
      <c r="R44" s="32" t="n"/>
      <c r="S44" s="32" t="n"/>
      <c r="T44" s="33" t="n"/>
      <c r="U44" s="34" t="n"/>
      <c r="V44" s="30" t="n"/>
      <c r="W44" s="30" t="n"/>
      <c r="X44" s="30" t="n"/>
    </row>
    <row r="45" ht="15" customHeight="1" s="19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2" t="n"/>
      <c r="Q45" s="32" t="n"/>
      <c r="R45" s="32" t="n"/>
      <c r="S45" s="32" t="n"/>
      <c r="T45" s="33" t="n"/>
      <c r="U45" s="34" t="n"/>
      <c r="V45" s="30" t="n"/>
      <c r="W45" s="30" t="n"/>
      <c r="X45" s="30" t="n"/>
    </row>
    <row r="46" ht="15" customHeight="1" s="19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2" t="n"/>
      <c r="Q46" s="32" t="n"/>
      <c r="R46" s="32" t="n"/>
      <c r="S46" s="32" t="n"/>
      <c r="T46" s="33" t="n"/>
      <c r="U46" s="34" t="n"/>
      <c r="V46" s="30" t="n"/>
      <c r="W46" s="30" t="n"/>
      <c r="X46" s="30" t="n"/>
    </row>
    <row r="47" ht="15" customHeight="1" s="19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2" t="n"/>
      <c r="Q47" s="32" t="n"/>
      <c r="R47" s="32" t="n"/>
      <c r="S47" s="32" t="n"/>
      <c r="T47" s="33" t="n"/>
      <c r="U47" s="34" t="n"/>
      <c r="V47" s="30" t="n"/>
      <c r="W47" s="30" t="n"/>
      <c r="X47" s="30" t="n"/>
    </row>
    <row r="48" ht="15" customHeight="1" s="19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2" t="n"/>
      <c r="Q48" s="32" t="n"/>
      <c r="R48" s="32" t="n"/>
      <c r="S48" s="32" t="n"/>
      <c r="T48" s="33" t="n"/>
      <c r="U48" s="34" t="n"/>
      <c r="V48" s="30" t="n"/>
      <c r="W48" s="30" t="n"/>
      <c r="X48" s="30" t="n"/>
    </row>
    <row r="49" ht="15" customHeight="1" s="1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2" t="n"/>
      <c r="Q49" s="32" t="n"/>
      <c r="R49" s="32" t="n"/>
      <c r="S49" s="32" t="n"/>
      <c r="T49" s="33" t="n"/>
      <c r="U49" s="34" t="n"/>
      <c r="V49" s="30" t="n"/>
      <c r="W49" s="30" t="n"/>
      <c r="X49" s="30" t="n"/>
    </row>
    <row r="50" ht="15" customHeight="1" s="19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2" t="n"/>
      <c r="Q50" s="32" t="n"/>
      <c r="R50" s="32" t="n"/>
      <c r="S50" s="32" t="n"/>
      <c r="T50" s="32" t="n"/>
      <c r="U50" s="34" t="n"/>
      <c r="V50" s="30" t="n"/>
      <c r="W50" s="30" t="n"/>
      <c r="X50" s="30" t="n"/>
    </row>
    <row r="51" ht="15" customHeight="1" s="19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2" t="n"/>
      <c r="Q51" s="32" t="n"/>
      <c r="R51" s="32" t="n"/>
      <c r="S51" s="32" t="n"/>
      <c r="T51" s="32" t="n"/>
      <c r="U51" s="34" t="n"/>
      <c r="V51" s="30" t="n"/>
      <c r="W51" s="30" t="n"/>
      <c r="X51" s="30" t="n"/>
    </row>
    <row r="52" ht="15" customHeight="1" s="19">
      <c r="A52" s="26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48" t="n"/>
    </row>
    <row r="53" ht="25.5" customHeight="1" s="19">
      <c r="A53" s="30" t="n">
        <v>21</v>
      </c>
      <c r="B53" s="30" t="inlineStr">
        <is>
          <t>ДДП Е-30</t>
        </is>
      </c>
      <c r="C53" s="30" t="inlineStr">
        <is>
          <t>ДДП, Е-30</t>
        </is>
      </c>
      <c r="D53" s="30" t="inlineStr">
        <is>
          <t>Г</t>
        </is>
      </c>
      <c r="E53" s="30" t="inlineStr">
        <is>
          <t>["ГОСТ Р 53307-2009","ГОСТ 475-2016"]</t>
        </is>
      </c>
      <c r="F53" s="30" t="inlineStr">
        <is>
          <t>ДМ 1Рп 21×9 Г ПрБ ГОСТ 475-2016; EI 30 по ГОСТ Р 53307-2009</t>
        </is>
      </c>
      <c r="G53" s="30" t="inlineStr">
        <is>
          <t>ПВХ / под покраску</t>
        </is>
      </c>
      <c r="H53" s="30" t="inlineStr">
        <is>
          <t>ХДФ</t>
        </is>
      </c>
      <c r="I53" s="30" t="inlineStr">
        <is>
          <t>Противопожарная</t>
        </is>
      </c>
      <c r="J53" s="30" t="inlineStr">
        <is>
          <t>Техническая</t>
        </is>
      </c>
      <c r="K53" s="30" t="inlineStr">
        <is>
          <t>EI 30</t>
        </is>
      </c>
      <c r="L53" s="30" t="inlineStr">
        <is>
          <t>2000×600, 700, 800, 900</t>
        </is>
      </c>
      <c r="M53" s="30" t="inlineStr">
        <is>
          <t>Коробка+Наличник+Добор+Порог</t>
        </is>
      </c>
      <c r="N53" s="30" t="n">
        <v>5</v>
      </c>
      <c r="O53" s="30" t="inlineStr">
        <is>
          <t>Белая; Под покраску; Итальянский орех; Миланский орех; Венге</t>
        </is>
      </c>
      <c r="P53" s="32" t="n">
        <v>27100</v>
      </c>
      <c r="Q53" s="32" t="n">
        <v>3870</v>
      </c>
      <c r="R53" s="32" t="n">
        <v>3600</v>
      </c>
      <c r="S53" s="32" t="n">
        <v>2700</v>
      </c>
      <c r="T53" s="32" t="n">
        <v>1900</v>
      </c>
      <c r="U53" s="34">
        <f>SUM(P53:T53)</f>
        <v/>
      </c>
      <c r="V53" s="30" t="n">
        <v>1</v>
      </c>
      <c r="W53" s="30" t="inlineStr">
        <is>
          <t>Полотно</t>
        </is>
      </c>
      <c r="X53" s="30" t="inlineStr">
        <is>
          <t>Размеры в миллиметрах. Ширина × высота.</t>
        </is>
      </c>
    </row>
    <row r="54" ht="25.5" customHeight="1" s="19">
      <c r="A54" s="30" t="n">
        <v>22</v>
      </c>
      <c r="B54" s="30" t="inlineStr">
        <is>
          <t>ДДПО Е-30</t>
        </is>
      </c>
      <c r="C54" s="30" t="inlineStr">
        <is>
          <t>ДДПО, Е-30</t>
        </is>
      </c>
      <c r="D54" s="30" t="inlineStr">
        <is>
          <t>О</t>
        </is>
      </c>
      <c r="E54" s="30" t="inlineStr">
        <is>
          <t>["ГОСТ Р 53307-2009","ГОСТ 475-2016"]</t>
        </is>
      </c>
      <c r="F54" s="30" t="inlineStr">
        <is>
          <t>ДМ 1Рп 21×9 О ПрБ ГОСТ 475-2016; EI 30 по ГОСТ Р 53307-2009</t>
        </is>
      </c>
      <c r="G54" s="30" t="inlineStr">
        <is>
          <t>ПВХ / под покраску</t>
        </is>
      </c>
      <c r="H54" s="30" t="inlineStr">
        <is>
          <t>ХДФ</t>
        </is>
      </c>
      <c r="I54" s="30" t="inlineStr">
        <is>
          <t>Усиленная, противопожарная</t>
        </is>
      </c>
      <c r="J54" s="30" t="inlineStr">
        <is>
          <t>Техническая</t>
        </is>
      </c>
      <c r="K54" s="30" t="inlineStr">
        <is>
          <t>EI 30</t>
        </is>
      </c>
      <c r="L54" s="30" t="inlineStr">
        <is>
          <t>2000×600, 700, 800, 900</t>
        </is>
      </c>
      <c r="M54" s="30" t="inlineStr">
        <is>
          <t>Коробка+Наличник+Добор+Порог</t>
        </is>
      </c>
      <c r="N54" s="30" t="n">
        <v>5</v>
      </c>
      <c r="O54" s="30" t="inlineStr">
        <is>
          <t>Белый; Под покраску; Миланский орех; Серый; Венге</t>
        </is>
      </c>
      <c r="P54" s="32" t="n">
        <v>31300</v>
      </c>
      <c r="Q54" s="32" t="n">
        <v>3870</v>
      </c>
      <c r="R54" s="32" t="n">
        <v>3600</v>
      </c>
      <c r="S54" s="32" t="n">
        <v>2700</v>
      </c>
      <c r="T54" s="32" t="n">
        <v>1900</v>
      </c>
      <c r="U54" s="34">
        <f>SUM(P54:T54)</f>
        <v/>
      </c>
      <c r="V54" s="30" t="n">
        <v>1</v>
      </c>
      <c r="W54" s="30" t="inlineStr">
        <is>
          <t>Полотно</t>
        </is>
      </c>
      <c r="X54" s="30" t="inlineStr">
        <is>
          <t>Размеры в миллиметрах. Ширина × высота.</t>
        </is>
      </c>
    </row>
    <row r="55" ht="25.5" customHeight="1" s="19">
      <c r="A55" s="30" t="n">
        <v>23</v>
      </c>
      <c r="B55" s="30" t="inlineStr">
        <is>
          <t>ДДП Е-30 двухстворчатая</t>
        </is>
      </c>
      <c r="C55" s="30" t="inlineStr">
        <is>
          <t>ДДП, Е-30</t>
        </is>
      </c>
      <c r="D55" s="30" t="inlineStr">
        <is>
          <t>Г, 2 полотна</t>
        </is>
      </c>
      <c r="E55" s="30" t="inlineStr">
        <is>
          <t>["ГОСТ Р 53307-2009","ГОСТ 475-2016"]</t>
        </is>
      </c>
      <c r="F55" s="30" t="inlineStr">
        <is>
          <t>ДМ 2Рп 21×9 Г ПрБ ГОСТ 475-2016; EI 30 по ГОСТ Р 53307-2009</t>
        </is>
      </c>
      <c r="G55" s="30" t="inlineStr">
        <is>
          <t>ПВХ</t>
        </is>
      </c>
      <c r="H55" s="30" t="inlineStr">
        <is>
          <t>ХДФ</t>
        </is>
      </c>
      <c r="I55" s="30" t="inlineStr">
        <is>
          <t>Усиленная, противопожарная</t>
        </is>
      </c>
      <c r="J55" s="30" t="inlineStr">
        <is>
          <t>Техническая</t>
        </is>
      </c>
      <c r="K55" s="30" t="inlineStr">
        <is>
          <t>EI 30</t>
        </is>
      </c>
      <c r="L55" s="30" t="inlineStr">
        <is>
          <t>2000×600, 700, 800, 900</t>
        </is>
      </c>
      <c r="M55" s="30" t="inlineStr">
        <is>
          <t>Коробка+Наличник+Добор+Порог</t>
        </is>
      </c>
      <c r="N55" s="30" t="n">
        <v>1</v>
      </c>
      <c r="O55" s="30" t="inlineStr">
        <is>
          <t>Белый; Под покраску; Миланский орех; Серый; Венге</t>
        </is>
      </c>
      <c r="P55" s="32" t="n">
        <v>57300</v>
      </c>
      <c r="Q55" s="32" t="n">
        <v>3870</v>
      </c>
      <c r="R55" s="32" t="n">
        <v>3600</v>
      </c>
      <c r="S55" s="32" t="n">
        <v>2700</v>
      </c>
      <c r="T55" s="32" t="n">
        <v>1900</v>
      </c>
      <c r="U55" s="34">
        <f>SUM(P55:T55)</f>
        <v/>
      </c>
      <c r="V55" s="30" t="n">
        <v>2</v>
      </c>
      <c r="W55" s="30" t="inlineStr">
        <is>
          <t>Комплект двух полотен</t>
        </is>
      </c>
      <c r="X55" s="30" t="inlineStr">
        <is>
          <t>Стандарты заданы для каждого полотна. Компоновку двупольного блока уточнить на производстве.</t>
        </is>
      </c>
    </row>
    <row r="56" ht="38.25" customHeight="1" s="19">
      <c r="A56" s="30" t="n">
        <v>24</v>
      </c>
      <c r="B56" s="30" t="inlineStr">
        <is>
          <t>ДДПО Е-30 двухстворчатая</t>
        </is>
      </c>
      <c r="C56" s="30" t="inlineStr">
        <is>
          <t>ДДПО, Е-30</t>
        </is>
      </c>
      <c r="D56" s="30" t="inlineStr">
        <is>
          <t>О, 2 полотна</t>
        </is>
      </c>
      <c r="E56" s="30" t="inlineStr">
        <is>
          <t>["ГОСТ Р 53307-2009","ГОСТ 475-2016"]</t>
        </is>
      </c>
      <c r="F56" s="30" t="inlineStr">
        <is>
          <t>ДМ 2Рп 21×9 О ПрБ ГОСТ 475-2016; EI 30 по ГОСТ Р 53307-2009</t>
        </is>
      </c>
      <c r="G56" s="30" t="inlineStr">
        <is>
          <t>ПВХ</t>
        </is>
      </c>
      <c r="H56" s="30" t="inlineStr">
        <is>
          <t>ХДФ</t>
        </is>
      </c>
      <c r="I56" s="30" t="inlineStr">
        <is>
          <t>Усиленная, противопожарная</t>
        </is>
      </c>
      <c r="J56" s="30" t="inlineStr">
        <is>
          <t>Техническая</t>
        </is>
      </c>
      <c r="K56" s="30" t="inlineStr">
        <is>
          <t>EI 30</t>
        </is>
      </c>
      <c r="L56" s="30" t="inlineStr">
        <is>
          <t>2000×600+400, 600+600, 700+700, 800+800</t>
        </is>
      </c>
      <c r="M56" s="30" t="inlineStr">
        <is>
          <t>Коробка+Наличник+Добор+Порог</t>
        </is>
      </c>
      <c r="N56" s="30" t="n">
        <v>5</v>
      </c>
      <c r="O56" s="30" t="inlineStr">
        <is>
          <t>Белый; Под покраску; Миланский орех; Серый; Венге</t>
        </is>
      </c>
      <c r="P56" s="32" t="n">
        <v>57800</v>
      </c>
      <c r="Q56" s="32" t="n">
        <v>3870</v>
      </c>
      <c r="R56" s="32" t="n">
        <v>3600</v>
      </c>
      <c r="S56" s="32" t="n">
        <v>2700</v>
      </c>
      <c r="T56" s="32" t="n">
        <v>1900</v>
      </c>
      <c r="U56" s="34">
        <f>SUM(P56:T56)</f>
        <v/>
      </c>
      <c r="V56" s="30" t="n">
        <v>2</v>
      </c>
      <c r="W56" s="30" t="inlineStr">
        <is>
          <t>Комплект двух полотен</t>
        </is>
      </c>
      <c r="X56" s="30" t="inlineStr">
        <is>
          <t>Размеры в миллиметрах. Ширина × высота.</t>
        </is>
      </c>
    </row>
    <row r="57" ht="25.5" customHeight="1" s="19">
      <c r="A57" s="30" t="n">
        <v>25</v>
      </c>
      <c r="B57" s="30" t="inlineStr">
        <is>
          <t>ДПГ EI30</t>
        </is>
      </c>
      <c r="C57" s="30" t="inlineStr">
        <is>
          <t>ДПГ, EI30</t>
        </is>
      </c>
      <c r="D57" s="30" t="inlineStr">
        <is>
          <t>Г</t>
        </is>
      </c>
      <c r="E57" s="30" t="inlineStr">
        <is>
          <t>["ГОСТ Р 53307-2009","ГОСТ 475-2016"]</t>
        </is>
      </c>
      <c r="F57" s="30" t="inlineStr">
        <is>
          <t>ДМ 1Рп 21×9 Г ПрБ ГОСТ 475-2016; EI 30 по ГОСТ Р 53307-2009</t>
        </is>
      </c>
      <c r="G57" s="30" t="inlineStr">
        <is>
          <t>CPL</t>
        </is>
      </c>
      <c r="H57" s="30" t="inlineStr">
        <is>
          <t>МДФ</t>
        </is>
      </c>
      <c r="I57" s="30" t="inlineStr">
        <is>
          <t>Усиленная, противопожарная</t>
        </is>
      </c>
      <c r="J57" s="30" t="inlineStr">
        <is>
          <t>Техническая</t>
        </is>
      </c>
      <c r="K57" s="30" t="inlineStr">
        <is>
          <t>EI 30</t>
        </is>
      </c>
      <c r="L57" s="30" t="inlineStr">
        <is>
          <t>2000×600, 700, 800, 900</t>
        </is>
      </c>
      <c r="M57" s="30" t="inlineStr">
        <is>
          <t>Коробка+Наличник+Добор+Порог</t>
        </is>
      </c>
      <c r="N57" s="30" t="n">
        <v>4</v>
      </c>
      <c r="O57" s="30" t="inlineStr">
        <is>
          <t>Белый; Под покраску; Миланский орех; Серый; Венге</t>
        </is>
      </c>
      <c r="P57" s="32" t="n">
        <v>32600</v>
      </c>
      <c r="Q57" s="32" t="n">
        <v>3870</v>
      </c>
      <c r="R57" s="32" t="n">
        <v>3600</v>
      </c>
      <c r="S57" s="32" t="n">
        <v>2700</v>
      </c>
      <c r="T57" s="32" t="n">
        <v>1900</v>
      </c>
      <c r="U57" s="34">
        <f>SUM(P57:T57)</f>
        <v/>
      </c>
      <c r="V57" s="30" t="n">
        <v>1</v>
      </c>
      <c r="W57" s="30" t="inlineStr">
        <is>
          <t>Полотно</t>
        </is>
      </c>
      <c r="X57" s="30" t="inlineStr">
        <is>
          <t>Размеры в миллиметрах. Ширина × высота.</t>
        </is>
      </c>
    </row>
    <row r="58" ht="25.5" customHeight="1" s="19">
      <c r="A58" s="30" t="n">
        <v>26</v>
      </c>
      <c r="B58" s="30" t="inlineStr">
        <is>
          <t>ДПО EI30</t>
        </is>
      </c>
      <c r="C58" s="30" t="inlineStr">
        <is>
          <t>ДПО, EI30</t>
        </is>
      </c>
      <c r="D58" s="30" t="inlineStr">
        <is>
          <t>О</t>
        </is>
      </c>
      <c r="E58" s="30" t="inlineStr">
        <is>
          <t>["ГОСТ Р 53307-2009","ГОСТ 475-2016"]</t>
        </is>
      </c>
      <c r="F58" s="30" t="inlineStr">
        <is>
          <t>ДМ 1Рп 21×9 О ПрБ ГОСТ 475-2016; EI 30 по ГОСТ Р 53307-2009</t>
        </is>
      </c>
      <c r="G58" s="30" t="inlineStr">
        <is>
          <t>CPL</t>
        </is>
      </c>
      <c r="H58" s="30" t="inlineStr">
        <is>
          <t>МДФ</t>
        </is>
      </c>
      <c r="I58" s="30" t="inlineStr">
        <is>
          <t>Усиленная, противопожарная</t>
        </is>
      </c>
      <c r="J58" s="30" t="inlineStr">
        <is>
          <t>Техническая</t>
        </is>
      </c>
      <c r="K58" s="30" t="inlineStr">
        <is>
          <t>EI 30</t>
        </is>
      </c>
      <c r="L58" s="30" t="inlineStr">
        <is>
          <t>2000×600, 700, 800, 900</t>
        </is>
      </c>
      <c r="M58" s="30" t="inlineStr">
        <is>
          <t>Коробка+Наличник+Добор+Порог</t>
        </is>
      </c>
      <c r="N58" s="30" t="n">
        <v>6</v>
      </c>
      <c r="O58" s="30" t="inlineStr">
        <is>
          <t>Белый; Под покраску; Миланский орех; Серый; Венге</t>
        </is>
      </c>
      <c r="P58" s="32" t="n">
        <v>37900</v>
      </c>
      <c r="Q58" s="32" t="n">
        <v>3870</v>
      </c>
      <c r="R58" s="32" t="n">
        <v>3600</v>
      </c>
      <c r="S58" s="32" t="n">
        <v>2700</v>
      </c>
      <c r="T58" s="32" t="n">
        <v>1900</v>
      </c>
      <c r="U58" s="34">
        <f>SUM(P58:T58)</f>
        <v/>
      </c>
      <c r="V58" s="30" t="n">
        <v>1</v>
      </c>
      <c r="W58" s="30" t="inlineStr">
        <is>
          <t>Полотно</t>
        </is>
      </c>
      <c r="X58" s="30" t="inlineStr">
        <is>
          <t>Размеры в миллиметрах. Ширина × высота.</t>
        </is>
      </c>
    </row>
    <row r="59" ht="25.5" customHeight="1" s="19">
      <c r="A59" s="30" t="n">
        <v>27</v>
      </c>
      <c r="B59" s="30" t="inlineStr">
        <is>
          <t>ДПГ EI60</t>
        </is>
      </c>
      <c r="C59" s="30" t="inlineStr">
        <is>
          <t>ДПГ, EI60</t>
        </is>
      </c>
      <c r="D59" s="30" t="inlineStr">
        <is>
          <t>Г</t>
        </is>
      </c>
      <c r="E59" s="30" t="inlineStr">
        <is>
          <t>["ГОСТ Р 53307-2009","ГОСТ 475-2016"]</t>
        </is>
      </c>
      <c r="F59" s="30" t="inlineStr">
        <is>
          <t>ДМ 1Рп 21×9 Г ПрБ ГОСТ 475-2016; EI 60 по ГОСТ Р 53307-2009</t>
        </is>
      </c>
      <c r="G59" s="30" t="inlineStr">
        <is>
          <t>CPL</t>
        </is>
      </c>
      <c r="H59" s="30" t="inlineStr">
        <is>
          <t>МДФ</t>
        </is>
      </c>
      <c r="I59" s="30" t="inlineStr">
        <is>
          <t>Усиленная, противопожарная</t>
        </is>
      </c>
      <c r="J59" s="30" t="inlineStr">
        <is>
          <t>Техническая</t>
        </is>
      </c>
      <c r="K59" s="30" t="inlineStr">
        <is>
          <t>EI 60</t>
        </is>
      </c>
      <c r="L59" s="30" t="inlineStr">
        <is>
          <t>2000×600, 700, 800, 900</t>
        </is>
      </c>
      <c r="M59" s="30" t="inlineStr">
        <is>
          <t>Коробка+Наличник+Добор+Порог</t>
        </is>
      </c>
      <c r="N59" s="30" t="n">
        <v>6</v>
      </c>
      <c r="O59" s="30" t="inlineStr">
        <is>
          <t>Белый; Под покраску; Миланский орех; Серый; Венге</t>
        </is>
      </c>
      <c r="P59" s="32" t="n">
        <v>29400</v>
      </c>
      <c r="Q59" s="32" t="n">
        <v>3870</v>
      </c>
      <c r="R59" s="32" t="n">
        <v>3600</v>
      </c>
      <c r="S59" s="32" t="n">
        <v>2700</v>
      </c>
      <c r="T59" s="32" t="n">
        <v>1900</v>
      </c>
      <c r="U59" s="34">
        <f>SUM(P59:T59)</f>
        <v/>
      </c>
      <c r="V59" s="30" t="n">
        <v>1</v>
      </c>
      <c r="W59" s="30" t="inlineStr">
        <is>
          <t>Полотно</t>
        </is>
      </c>
      <c r="X59" s="30" t="inlineStr">
        <is>
          <t>Размеры в миллиметрах. Ширина × высота.</t>
        </is>
      </c>
    </row>
    <row r="60" ht="25.5" customHeight="1" s="19">
      <c r="A60" s="30" t="n">
        <v>28</v>
      </c>
      <c r="B60" s="30" t="inlineStr">
        <is>
          <t>ДПО EI60</t>
        </is>
      </c>
      <c r="C60" s="30" t="inlineStr">
        <is>
          <t>ДПО, EI60</t>
        </is>
      </c>
      <c r="D60" s="30" t="inlineStr">
        <is>
          <t>О</t>
        </is>
      </c>
      <c r="E60" s="30" t="inlineStr">
        <is>
          <t>["ГОСТ Р 53307-2009","ГОСТ 475-2016"]</t>
        </is>
      </c>
      <c r="F60" s="30" t="inlineStr">
        <is>
          <t>ДМ 1Рп 21×9 О ПрБ ГОСТ 475-2016; EI 60 по ГОСТ Р 53307-2009</t>
        </is>
      </c>
      <c r="G60" s="30" t="inlineStr">
        <is>
          <t>CPL</t>
        </is>
      </c>
      <c r="H60" s="30" t="inlineStr">
        <is>
          <t>МДФ</t>
        </is>
      </c>
      <c r="I60" s="30" t="inlineStr">
        <is>
          <t>Усиленная, противопожарная</t>
        </is>
      </c>
      <c r="J60" s="30" t="inlineStr">
        <is>
          <t>—</t>
        </is>
      </c>
      <c r="K60" s="30" t="inlineStr">
        <is>
          <t>EI 60</t>
        </is>
      </c>
      <c r="L60" s="30" t="inlineStr">
        <is>
          <t>2000×600, 700, 800, 900</t>
        </is>
      </c>
      <c r="M60" s="30" t="inlineStr">
        <is>
          <t>Коробка+Наличник+Добор+Порог</t>
        </is>
      </c>
      <c r="N60" s="30" t="n">
        <v>3</v>
      </c>
      <c r="O60" s="30" t="inlineStr">
        <is>
          <t>Белый; Под покраску; Миланский орех; Серый; Венге</t>
        </is>
      </c>
      <c r="P60" s="32" t="n">
        <v>37900</v>
      </c>
      <c r="Q60" s="32" t="n">
        <v>3870</v>
      </c>
      <c r="R60" s="32" t="n">
        <v>3600</v>
      </c>
      <c r="S60" s="32" t="n">
        <v>2700</v>
      </c>
      <c r="T60" s="32" t="n">
        <v>1900</v>
      </c>
      <c r="U60" s="34">
        <f>SUM(P60:T60)</f>
        <v/>
      </c>
      <c r="V60" s="30" t="n">
        <v>1</v>
      </c>
      <c r="W60" s="30" t="inlineStr">
        <is>
          <t>Полотно</t>
        </is>
      </c>
      <c r="X60" s="30" t="inlineStr">
        <is>
          <t>Размеры в миллиметрах. Ширина × высота.</t>
        </is>
      </c>
    </row>
    <row r="61" ht="25.5" customHeight="1" s="19">
      <c r="A61" s="30" t="n">
        <v>29</v>
      </c>
      <c r="B61" s="30" t="inlineStr">
        <is>
          <t>ДПГ</t>
        </is>
      </c>
      <c r="C61" s="30" t="inlineStr">
        <is>
          <t>ДПГ</t>
        </is>
      </c>
      <c r="D61" s="30" t="inlineStr">
        <is>
          <t>Г</t>
        </is>
      </c>
      <c r="E61" s="30" t="inlineStr">
        <is>
          <t>["ГОСТ Р 53307-2009","ГОСТ 475-2016"]</t>
        </is>
      </c>
      <c r="F61" s="30" t="inlineStr">
        <is>
          <t>ДМ 1Рп 21×9 Г ПрБ ГОСТ 475-2016; EI 30 по ГОСТ Р 53307-2009</t>
        </is>
      </c>
      <c r="G61" s="30" t="inlineStr">
        <is>
          <t>CPL</t>
        </is>
      </c>
      <c r="H61" s="30" t="inlineStr">
        <is>
          <t>МДФ</t>
        </is>
      </c>
      <c r="I61" s="30" t="inlineStr">
        <is>
          <t>Усиленная</t>
        </is>
      </c>
      <c r="J61" s="30" t="inlineStr">
        <is>
          <t>—</t>
        </is>
      </c>
      <c r="K61" s="30" t="inlineStr">
        <is>
          <t>EI 30 (серия)</t>
        </is>
      </c>
      <c r="L61" s="30" t="inlineStr">
        <is>
          <t>2000×600, 700, 800, 900</t>
        </is>
      </c>
      <c r="M61" s="30" t="inlineStr">
        <is>
          <t>Коробка+Наличник+Добор+Порог</t>
        </is>
      </c>
      <c r="N61" s="30" t="n">
        <v>10</v>
      </c>
      <c r="O61" s="30" t="inlineStr">
        <is>
          <t>Белый; Под покраску; Миланский орех; Серый; Венге</t>
        </is>
      </c>
      <c r="P61" s="32" t="n">
        <v>29800</v>
      </c>
      <c r="Q61" s="32" t="n">
        <v>3870</v>
      </c>
      <c r="R61" s="32" t="n">
        <v>3600</v>
      </c>
      <c r="S61" s="32" t="n">
        <v>2700</v>
      </c>
      <c r="T61" s="32" t="n">
        <v>1900</v>
      </c>
      <c r="U61" s="34">
        <f>SUM(P61:T61)</f>
        <v/>
      </c>
      <c r="V61" s="30" t="n">
        <v>1</v>
      </c>
      <c r="W61" s="30" t="inlineStr">
        <is>
          <t>Полотно</t>
        </is>
      </c>
      <c r="X61" s="30" t="inlineStr">
        <is>
          <t>Размеры в миллиметрах. Ширина × высота.</t>
        </is>
      </c>
    </row>
    <row r="62" ht="51" customHeight="1" s="19">
      <c r="A62" s="30" t="n">
        <v>30</v>
      </c>
      <c r="B62" s="30" t="inlineStr">
        <is>
          <t>ДПО</t>
        </is>
      </c>
      <c r="C62" s="30" t="inlineStr">
        <is>
          <t>ДПО</t>
        </is>
      </c>
      <c r="D62" s="30" t="inlineStr">
        <is>
          <t>О</t>
        </is>
      </c>
      <c r="E62" s="30" t="inlineStr">
        <is>
          <t>["ГОСТ Р 53307-2009","ГОСТ 475-2016"]</t>
        </is>
      </c>
      <c r="F62" s="30" t="inlineStr">
        <is>
          <t>ДМ 1Рп 21×9 О ПрБ ГОСТ 475-2016; EI 30 по ГОСТ Р 53307-2009</t>
        </is>
      </c>
      <c r="G62" s="30" t="inlineStr">
        <is>
          <t>CPL</t>
        </is>
      </c>
      <c r="H62" s="30" t="inlineStr">
        <is>
          <t>МДФ</t>
        </is>
      </c>
      <c r="I62" s="30" t="inlineStr">
        <is>
          <t>Усиленная</t>
        </is>
      </c>
      <c r="J62" s="30" t="inlineStr">
        <is>
          <t>—</t>
        </is>
      </c>
      <c r="K62" s="30" t="inlineStr">
        <is>
          <t>EI 30 (серия)</t>
        </is>
      </c>
      <c r="L62" s="30" t="inlineStr">
        <is>
          <t>2000×600, 700, 800, 900</t>
        </is>
      </c>
      <c r="M62" s="30" t="inlineStr">
        <is>
          <t>Коробка+Наличник+Добор+Порог</t>
        </is>
      </c>
      <c r="N62" s="30" t="n">
        <v>11</v>
      </c>
      <c r="O62" s="30" t="inlineStr">
        <is>
          <t>Орех, Венге, Акация, Слоновая кость, Пангар, эмали Фисташка/Голубая/Чёрная, Дуб античный, Дуб графит, Американский орех (11)</t>
        </is>
      </c>
      <c r="P62" s="32" t="n">
        <v>38600</v>
      </c>
      <c r="Q62" s="32" t="n">
        <v>3870</v>
      </c>
      <c r="R62" s="32" t="n">
        <v>3600</v>
      </c>
      <c r="S62" s="32" t="n">
        <v>2700</v>
      </c>
      <c r="T62" s="32" t="n">
        <v>1900</v>
      </c>
      <c r="U62" s="34">
        <f>SUM(P62:T62)</f>
        <v/>
      </c>
      <c r="V62" s="30" t="n">
        <v>1</v>
      </c>
      <c r="W62" s="30" t="inlineStr">
        <is>
          <t>Полотно</t>
        </is>
      </c>
      <c r="X62" s="30" t="inlineStr">
        <is>
          <t>Размеры в миллиметрах. Ширина × высота.</t>
        </is>
      </c>
    </row>
    <row r="63" ht="15" customHeight="1" s="19">
      <c r="A63" s="45" t="inlineStr">
        <is>
          <t>Источник: карточки товаров раздела rf-dveri.ru/dveri_optom/gost/, поле «ГОСТ» и характеристики; снято 15.10.2026. Звукоизоляция «35–42 дБ» — формулировка сайта в поле «Вид конструкции», протоколы испытаний не проверялись.</t>
        </is>
      </c>
    </row>
  </sheetData>
  <mergeCells count="5">
    <mergeCell ref="A30:X30"/>
    <mergeCell ref="A16:X16"/>
    <mergeCell ref="A2:X2"/>
    <mergeCell ref="A52:X52"/>
    <mergeCell ref="A8:X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2" customWidth="1" style="18" min="1" max="1"/>
    <col width="70" customWidth="1" style="18" min="2" max="2"/>
    <col width="26" customWidth="1" style="18" min="3" max="3"/>
  </cols>
  <sheetData>
    <row r="1" ht="15" customHeight="1" s="19">
      <c r="A1" s="42" t="inlineStr">
        <is>
          <t>Сокращение</t>
        </is>
      </c>
      <c r="B1" s="42" t="inlineStr">
        <is>
          <t>Расшифровка</t>
        </is>
      </c>
      <c r="C1" s="42" t="inlineStr">
        <is>
          <t>Где на сайте</t>
        </is>
      </c>
    </row>
    <row r="2" ht="25.5" customHeight="1" s="19">
      <c r="A2" s="39" t="inlineStr">
        <is>
          <t>Тип полотна в названиях сайта</t>
        </is>
      </c>
      <c r="B2" s="39" t="n"/>
      <c r="C2" s="39" t="n"/>
    </row>
    <row r="3" ht="15" customHeight="1" s="19">
      <c r="A3" s="30" t="inlineStr">
        <is>
          <t>ПГ</t>
        </is>
      </c>
      <c r="B3" s="30" t="inlineStr">
        <is>
          <t>полотно глухое</t>
        </is>
      </c>
      <c r="C3" s="30" t="inlineStr">
        <is>
          <t>названия моделей</t>
        </is>
      </c>
    </row>
    <row r="4" ht="15" customHeight="1" s="19">
      <c r="A4" s="30" t="inlineStr">
        <is>
          <t>ПО</t>
        </is>
      </c>
      <c r="B4" s="30" t="inlineStr">
        <is>
          <t>полотно остеклённое</t>
        </is>
      </c>
      <c r="C4" s="30" t="inlineStr">
        <is>
          <t>названия моделей</t>
        </is>
      </c>
    </row>
    <row r="5" ht="15" customHeight="1" s="19">
      <c r="A5" s="30" t="inlineStr">
        <is>
          <t>ДГ</t>
        </is>
      </c>
      <c r="B5" s="30" t="inlineStr">
        <is>
          <t>дверь глухая</t>
        </is>
      </c>
      <c r="C5" s="30" t="inlineStr">
        <is>
          <t>названия моделей</t>
        </is>
      </c>
    </row>
    <row r="6" ht="15" customHeight="1" s="19">
      <c r="A6" s="30" t="inlineStr">
        <is>
          <t>ДПГ</t>
        </is>
      </c>
      <c r="B6" s="30" t="inlineStr">
        <is>
          <t>дверное полотно глухое</t>
        </is>
      </c>
      <c r="C6" s="30" t="inlineStr">
        <is>
          <t>названия моделей</t>
        </is>
      </c>
    </row>
    <row r="7" ht="15" customHeight="1" s="19">
      <c r="A7" s="30" t="inlineStr">
        <is>
          <t>ДПО</t>
        </is>
      </c>
      <c r="B7" s="30" t="inlineStr">
        <is>
          <t>дверное полотно остеклённое</t>
        </is>
      </c>
      <c r="C7" s="30" t="inlineStr">
        <is>
          <t>названия моделей</t>
        </is>
      </c>
    </row>
    <row r="8" ht="25.5" customHeight="1" s="19">
      <c r="A8" s="30" t="inlineStr">
        <is>
          <t>ДДП / ДДПО</t>
        </is>
      </c>
      <c r="B8" s="30" t="inlineStr">
        <is>
          <t>противопожарная дверь глухая / остеклённая (на сайте буквы не расшифрованы)</t>
        </is>
      </c>
      <c r="C8" s="30" t="inlineStr">
        <is>
          <t>ДДП Е-30, ДДПО Е-30</t>
        </is>
      </c>
    </row>
    <row r="9" ht="15" customHeight="1" s="19">
      <c r="A9" s="30" t="inlineStr">
        <is>
          <t>Е-30, EI30</t>
        </is>
      </c>
      <c r="B9" s="30" t="inlineStr">
        <is>
          <t>огнестойкость 30 мин: E — целостность, I — теплоизоляция</t>
        </is>
      </c>
      <c r="C9" s="30" t="inlineStr">
        <is>
          <t>противопожарные</t>
        </is>
      </c>
    </row>
    <row r="10" ht="15" customHeight="1" s="19">
      <c r="A10" s="30" t="inlineStr">
        <is>
          <t>EI60</t>
        </is>
      </c>
      <c r="B10" s="30" t="inlineStr">
        <is>
          <t>огнестойкость 60 мин</t>
        </is>
      </c>
      <c r="C10" s="30" t="inlineStr">
        <is>
          <t>противопожарные</t>
        </is>
      </c>
    </row>
    <row r="11" ht="15" customHeight="1" s="19">
      <c r="A11" s="30" t="inlineStr">
        <is>
          <t>ПШГ</t>
        </is>
      </c>
      <c r="B11" s="30" t="inlineStr">
        <is>
          <t>глухая шумоизоляционная дверь (на сайте буквы не расшифрованы)</t>
        </is>
      </c>
      <c r="C11" s="30" t="inlineStr">
        <is>
          <t>ПШГ 1, ПШГ 2</t>
        </is>
      </c>
    </row>
    <row r="12" ht="15" customHeight="1" s="19">
      <c r="A12" s="30" t="inlineStr">
        <is>
          <t>NK, SMK</t>
        </is>
      </c>
      <c r="B12" s="30" t="inlineStr">
        <is>
          <t>индексы серий в названиях моделей, не технические сокращения</t>
        </is>
      </c>
      <c r="C12" s="30" t="inlineStr">
        <is>
          <t>1NK, 42NK, 1SMK</t>
        </is>
      </c>
    </row>
    <row r="13" ht="15" customHeight="1" s="19">
      <c r="A13" s="30" t="inlineStr">
        <is>
          <t>AL</t>
        </is>
      </c>
      <c r="B13" s="30" t="inlineStr">
        <is>
          <t>алюминиевая кромка</t>
        </is>
      </c>
      <c r="C13" s="30" t="inlineStr">
        <is>
          <t>Турин 13 AL ПО</t>
        </is>
      </c>
    </row>
    <row r="14" ht="15" customHeight="1" s="19">
      <c r="A14" s="30" t="inlineStr">
        <is>
          <t>ABS</t>
        </is>
      </c>
      <c r="B14" s="30" t="inlineStr">
        <is>
          <t>пластиковая кромка ABS</t>
        </is>
      </c>
      <c r="C14" s="30" t="inlineStr">
        <is>
          <t>1SMK</t>
        </is>
      </c>
    </row>
    <row r="15" ht="25.5" customHeight="1" s="19">
      <c r="A15" s="39" t="inlineStr">
        <is>
          <t>ГОСТ 6629-88: марка двери</t>
        </is>
      </c>
      <c r="B15" s="39" t="n"/>
      <c r="C15" s="39" t="n"/>
    </row>
    <row r="16" ht="15" customHeight="1" s="19">
      <c r="A16" s="30" t="inlineStr">
        <is>
          <t>Д</t>
        </is>
      </c>
      <c r="B16" s="30" t="inlineStr">
        <is>
          <t>дверь (первая буква марки)</t>
        </is>
      </c>
      <c r="C16" s="30" t="n"/>
    </row>
    <row r="17" ht="15" customHeight="1" s="19">
      <c r="A17" s="30" t="inlineStr">
        <is>
          <t>Г / О</t>
        </is>
      </c>
      <c r="B17" s="30" t="inlineStr">
        <is>
          <t>с глухими / остеклёнными полотнами</t>
        </is>
      </c>
      <c r="C17" s="30" t="n"/>
    </row>
    <row r="18" ht="15" customHeight="1" s="19">
      <c r="A18" s="30" t="inlineStr">
        <is>
          <t>К</t>
        </is>
      </c>
      <c r="B18" s="30" t="inlineStr">
        <is>
          <t>с остеклёнными качающимися полотнами</t>
        </is>
      </c>
      <c r="C18" s="30" t="n"/>
    </row>
    <row r="19" ht="15" customHeight="1" s="19">
      <c r="A19" s="30" t="inlineStr">
        <is>
          <t>У</t>
        </is>
      </c>
      <c r="B19" s="30" t="inlineStr">
        <is>
          <t>со сплошным заполнителем, усиленные, для входа в квартиру</t>
        </is>
      </c>
      <c r="C19" s="30" t="n"/>
    </row>
    <row r="20" ht="15" customHeight="1" s="19">
      <c r="A20" s="30" t="inlineStr">
        <is>
          <t>П (перед типом)</t>
        </is>
      </c>
      <c r="B20" s="30" t="inlineStr">
        <is>
          <t>полотно бескоробочной двери</t>
        </is>
      </c>
      <c r="C20" s="30" t="n"/>
    </row>
    <row r="21" ht="15" customHeight="1" s="19">
      <c r="A21" s="30" t="inlineStr">
        <is>
          <t>21-9</t>
        </is>
      </c>
      <c r="B21" s="30" t="inlineStr">
        <is>
          <t>проём: высота 21 дм, ширина 9 дм</t>
        </is>
      </c>
      <c r="C21" s="30" t="n"/>
    </row>
    <row r="22" ht="15" customHeight="1" s="19">
      <c r="A22" s="30" t="inlineStr">
        <is>
          <t>Л</t>
        </is>
      </c>
      <c r="B22" s="30" t="inlineStr">
        <is>
          <t>левая; правая не обозначается</t>
        </is>
      </c>
      <c r="C22" s="30" t="n"/>
    </row>
    <row r="23" ht="15" customHeight="1" s="19">
      <c r="A23" s="30" t="inlineStr">
        <is>
          <t>П (после размера)</t>
        </is>
      </c>
      <c r="B23" s="30" t="inlineStr">
        <is>
          <t>с порогом</t>
        </is>
      </c>
      <c r="C23" s="30" t="n"/>
    </row>
    <row r="24" ht="15" customHeight="1" s="19">
      <c r="A24" s="30" t="inlineStr">
        <is>
          <t>Н</t>
        </is>
      </c>
      <c r="B24" s="30" t="inlineStr">
        <is>
          <t>с наплавом</t>
        </is>
      </c>
      <c r="C24" s="30" t="n"/>
    </row>
    <row r="25" ht="38.25" customHeight="1" s="19">
      <c r="A25" s="39" t="inlineStr">
        <is>
          <t>ГОСТ 475-2016: условное обозначение блока</t>
        </is>
      </c>
      <c r="B25" s="39" t="n"/>
      <c r="C25" s="39" t="n"/>
    </row>
    <row r="26" ht="25.5" customHeight="1" s="19">
      <c r="A26" s="30" t="inlineStr">
        <is>
          <t>ДН / ДВ / ДМ / ДС</t>
        </is>
      </c>
      <c r="B26" s="30" t="inlineStr">
        <is>
          <t>наружный входной / внутренний входной в квартиру или помещение / межкомнатный / санузла</t>
        </is>
      </c>
      <c r="C26" s="30" t="n"/>
    </row>
    <row r="27" ht="15" customHeight="1" s="19">
      <c r="A27" s="30" t="inlineStr">
        <is>
          <t>1 / 2</t>
        </is>
      </c>
      <c r="B27" s="30" t="inlineStr">
        <is>
          <t>однопольный / двупольный</t>
        </is>
      </c>
      <c r="C27" s="30" t="n"/>
    </row>
    <row r="28" ht="15" customHeight="1" s="19">
      <c r="A28" s="30" t="inlineStr">
        <is>
          <t>Рп / Рл</t>
        </is>
      </c>
      <c r="B28" s="30" t="inlineStr">
        <is>
          <t>распашной правый / левый</t>
        </is>
      </c>
      <c r="C28" s="30" t="n"/>
    </row>
    <row r="29" ht="15" customHeight="1" s="19">
      <c r="A29" s="30" t="inlineStr">
        <is>
          <t>К</t>
        </is>
      </c>
      <c r="B29" s="30" t="inlineStr">
        <is>
          <t>качающийся</t>
        </is>
      </c>
      <c r="C29" s="30" t="n"/>
    </row>
    <row r="30" ht="15" customHeight="1" s="19">
      <c r="A30" s="30" t="inlineStr">
        <is>
          <t>Р / Р2</t>
        </is>
      </c>
      <c r="B30" s="30" t="inlineStr">
        <is>
          <t>раздвижной / раздвижной двупольный</t>
        </is>
      </c>
      <c r="C30" s="30" t="n"/>
    </row>
    <row r="31" ht="15" customHeight="1" s="19">
      <c r="A31" s="30" t="inlineStr">
        <is>
          <t>С</t>
        </is>
      </c>
      <c r="B31" s="30" t="inlineStr">
        <is>
          <t>складной</t>
        </is>
      </c>
      <c r="C31" s="30" t="n"/>
    </row>
    <row r="32" ht="15" customHeight="1" s="19">
      <c r="A32" s="30" t="inlineStr">
        <is>
          <t>Г / О</t>
        </is>
      </c>
      <c r="B32" s="30" t="inlineStr">
        <is>
          <t>глухой / остеклённый</t>
        </is>
      </c>
      <c r="C32" s="30" t="n"/>
    </row>
    <row r="33" ht="15" customHeight="1" s="19">
      <c r="A33" s="30" t="inlineStr">
        <is>
          <t>ПрБ / Пр / По</t>
        </is>
      </c>
      <c r="B33" s="30" t="inlineStr">
        <is>
          <t>без порога / с порогом / с опускающимся порогом</t>
        </is>
      </c>
      <c r="C33" s="30" t="n"/>
    </row>
    <row r="34" ht="15" customHeight="1" s="19">
      <c r="A34" s="30" t="inlineStr">
        <is>
          <t>Мд1–Мд4</t>
        </is>
      </c>
      <c r="B34" s="30" t="inlineStr">
        <is>
          <t>класс механической прочности</t>
        </is>
      </c>
      <c r="C34" s="30" t="n"/>
    </row>
    <row r="35" ht="15" customHeight="1" s="19">
      <c r="A35" s="30" t="inlineStr">
        <is>
          <t>З1–З3</t>
        </is>
      </c>
      <c r="B35" s="30" t="inlineStr">
        <is>
          <t>класс звукоизоляции (в найденной копии текста читается как «31–33»)</t>
        </is>
      </c>
      <c r="C35" s="30" t="n"/>
    </row>
    <row r="36" ht="15" customHeight="1" s="19">
      <c r="A36" s="30" t="inlineStr">
        <is>
          <t>Т1–Т3</t>
        </is>
      </c>
      <c r="B36" s="30" t="inlineStr">
        <is>
          <t>класс теплоизоляции, для входных</t>
        </is>
      </c>
      <c r="C36" s="30" t="n"/>
    </row>
    <row r="37" ht="15" customHeight="1" s="19">
      <c r="A37" s="30" t="inlineStr">
        <is>
          <t>В1–В3</t>
        </is>
      </c>
      <c r="B37" s="30" t="inlineStr">
        <is>
          <t>класс воздухопроницаемости, для входных</t>
        </is>
      </c>
      <c r="C37" s="30" t="n"/>
    </row>
    <row r="38" ht="15" customHeight="1" s="19">
      <c r="A38" s="30" t="inlineStr">
        <is>
          <t>А–Д</t>
        </is>
      </c>
      <c r="B38" s="30" t="inlineStr">
        <is>
          <t>предел водонепроницаемости, только наружные</t>
        </is>
      </c>
      <c r="C38" s="30" t="n"/>
    </row>
    <row r="39" ht="15" customHeight="1" s="19">
      <c r="A39" s="39" t="inlineStr">
        <is>
          <t>ГОСТ Р 53307-2009</t>
        </is>
      </c>
      <c r="B39" s="39" t="n"/>
      <c r="C39" s="39" t="n"/>
    </row>
    <row r="40" ht="15" customHeight="1" s="19">
      <c r="A40" s="30" t="inlineStr">
        <is>
          <t>E</t>
        </is>
      </c>
      <c r="B40" s="30" t="inlineStr">
        <is>
          <t>предельное состояние: потеря целостности</t>
        </is>
      </c>
      <c r="C40" s="30" t="n"/>
    </row>
    <row r="41" ht="15" customHeight="1" s="19">
      <c r="A41" s="30" t="inlineStr">
        <is>
          <t>I</t>
        </is>
      </c>
      <c r="B41" s="30" t="inlineStr">
        <is>
          <t>предельное состояние: потеря теплоизолирующей способности</t>
        </is>
      </c>
      <c r="C41" s="30" t="n"/>
    </row>
    <row r="42" ht="15" customHeight="1" s="19">
      <c r="A42" s="39" t="inlineStr">
        <is>
          <t>ГОСТ 26602.3-2016</t>
        </is>
      </c>
      <c r="B42" s="39" t="n"/>
      <c r="C42" s="39" t="n"/>
    </row>
    <row r="43" ht="15" customHeight="1" s="19">
      <c r="A43" s="30" t="inlineStr">
        <is>
          <t>R</t>
        </is>
      </c>
      <c r="B43" s="30" t="inlineStr">
        <is>
          <t>изоляция воздушного шума, дБ</t>
        </is>
      </c>
      <c r="C43" s="30" t="n"/>
    </row>
    <row r="44" ht="15" customHeight="1" s="19">
      <c r="A44" s="30" t="inlineStr">
        <is>
          <t>Rw</t>
        </is>
      </c>
      <c r="B44" s="30" t="inlineStr">
        <is>
          <t>индекс изоляции воздушного шума, дБ</t>
        </is>
      </c>
      <c r="C44" s="30" t="n"/>
    </row>
    <row r="45" ht="15" customHeight="1" s="19">
      <c r="A45" s="30" t="inlineStr">
        <is>
          <t>RAтран</t>
        </is>
      </c>
      <c r="B45" s="30" t="inlineStr">
        <is>
          <t>снижение шума потока транспорта, дБА (для оконного блока)</t>
        </is>
      </c>
      <c r="C45" s="30" t="n"/>
    </row>
    <row r="46" ht="51" customHeight="1" s="19">
      <c r="A46" s="39" t="inlineStr">
        <is>
          <t>ГОСТ 475-78</t>
        </is>
      </c>
      <c r="B46" s="39" t="n"/>
      <c r="C46" s="39" t="n"/>
    </row>
    <row r="47" ht="25.5" customHeight="1" s="19">
      <c r="A47" s="30" t="inlineStr">
        <is>
          <t>—</t>
        </is>
      </c>
      <c r="B47" s="30" t="inlineStr">
        <is>
          <t>стандарт утратил силу, заменён ГОСТ 475-2016; у 7 карточек сайта в поле «ГОСТ» указан он</t>
        </is>
      </c>
      <c r="C47" s="30" t="n"/>
    </row>
    <row r="48" ht="25.5" customHeight="1" s="19">
      <c r="A48" s="39" t="inlineStr">
        <is>
          <t>Материалы и покрытия</t>
        </is>
      </c>
      <c r="B48" s="39" t="n"/>
      <c r="C48" s="39" t="n"/>
    </row>
    <row r="49" ht="15" customHeight="1" s="19">
      <c r="A49" s="30" t="inlineStr">
        <is>
          <t>МДФ / ХДФ</t>
        </is>
      </c>
      <c r="B49" s="30" t="inlineStr">
        <is>
          <t>древесноволокнистая плита средней / высокой плотности</t>
        </is>
      </c>
      <c r="C49" s="30" t="n"/>
    </row>
    <row r="50" ht="15" customHeight="1" s="19">
      <c r="A50" s="30" t="inlineStr">
        <is>
          <t>ДСП</t>
        </is>
      </c>
      <c r="B50" s="30" t="inlineStr">
        <is>
          <t>древесностружечная плита</t>
        </is>
      </c>
      <c r="C50" s="30" t="n"/>
    </row>
    <row r="51" ht="25.5" customHeight="1" s="19">
      <c r="A51" s="30" t="inlineStr">
        <is>
          <t>ПВХ</t>
        </is>
      </c>
      <c r="B51" s="30" t="inlineStr">
        <is>
          <t>поливинилхлоридная плёнка (на сайте — «Винил»)</t>
        </is>
      </c>
      <c r="C51" s="30" t="n"/>
    </row>
    <row r="52" ht="15" customHeight="1" s="19">
      <c r="A52" s="30" t="inlineStr">
        <is>
          <t>CPL</t>
        </is>
      </c>
      <c r="B52" s="30" t="inlineStr">
        <is>
          <t>ламинат непрерывного прессования</t>
        </is>
      </c>
      <c r="C52" s="30" t="n"/>
    </row>
    <row r="53" ht="15" customHeight="1" s="19">
      <c r="A53" s="30" t="inlineStr">
        <is>
          <t>RAL</t>
        </is>
      </c>
      <c r="B53" s="30" t="inlineStr">
        <is>
          <t>цветовая шкала RAL</t>
        </is>
      </c>
      <c r="C53" s="30" t="n"/>
    </row>
    <row r="55" ht="38.25" customHeight="1" s="19"/>
    <row r="56" ht="25.5" customHeight="1" s="19"/>
    <row r="57" ht="38.25" customHeight="1" s="19"/>
    <row r="59" ht="25.5" customHeight="1" s="19"/>
    <row r="60" ht="25.5" customHeight="1" s="1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19" min="1" max="1"/>
    <col width="40" customWidth="1" style="19" min="2" max="2"/>
    <col width="10" customWidth="1" style="19" min="3" max="3"/>
    <col width="12" customWidth="1" style="19" min="4" max="4"/>
    <col width="16" customWidth="1" style="19" min="5" max="5"/>
    <col width="16" customWidth="1" style="19" min="6" max="6"/>
    <col width="16" customWidth="1" style="19" min="7" max="7"/>
    <col width="12" customWidth="1" style="19" min="8" max="8"/>
    <col width="12" customWidth="1" style="19" min="9" max="9"/>
    <col width="14" customWidth="1" style="19" min="10" max="10"/>
    <col width="14" customWidth="1" style="19" min="11" max="11"/>
    <col width="14" customWidth="1" style="19" min="12" max="12"/>
    <col width="90" customWidth="1" style="19" min="13" max="13"/>
  </cols>
  <sheetData>
    <row r="1">
      <c r="A1" s="42" t="inlineStr">
        <is>
          <t>№</t>
        </is>
      </c>
      <c r="B1" s="42" t="inlineStr">
        <is>
          <t>Модель (как на сайте)</t>
        </is>
      </c>
      <c r="C1" s="42" t="inlineStr">
        <is>
          <t>ID</t>
        </is>
      </c>
      <c r="D1" s="42" t="inlineStr">
        <is>
          <t>Единица базы</t>
        </is>
      </c>
      <c r="E1" s="42" t="inlineStr">
        <is>
          <t>Статус наличников</t>
        </is>
      </c>
      <c r="F1" s="42" t="inlineStr">
        <is>
          <t>Статус добора</t>
        </is>
      </c>
      <c r="G1" s="42" t="inlineStr">
        <is>
          <t>Статус порога</t>
        </is>
      </c>
      <c r="H1" s="42" t="inlineStr">
        <is>
          <t>Семейство</t>
        </is>
      </c>
      <c r="I1" s="42" t="inlineStr">
        <is>
          <t>Заполнение</t>
        </is>
      </c>
      <c r="J1" s="42" t="inlineStr">
        <is>
          <t>Основание размера</t>
        </is>
      </c>
      <c r="K1" s="42" t="inlineStr">
        <is>
          <t>Режим геометрии</t>
        </is>
      </c>
      <c r="L1" s="42" t="inlineStr">
        <is>
          <t>Статус коробки</t>
        </is>
      </c>
      <c r="M1" s="51" t="inlineStr">
        <is>
          <t>Комментарий для товара (что агент берёт с других листов)</t>
        </is>
      </c>
    </row>
    <row r="2">
      <c r="A2" s="30" t="n">
        <v>1</v>
      </c>
      <c r="B2" s="30" t="inlineStr">
        <is>
          <t>Финская с четвертью ДПГ</t>
        </is>
      </c>
      <c r="C2" s="30" t="inlineStr">
        <is>
          <t>INT-001</t>
        </is>
      </c>
      <c r="D2" s="30" t="inlineStr">
        <is>
          <t>leaf</t>
        </is>
      </c>
      <c r="E2" s="30" t="inlineStr">
        <is>
          <t>priced</t>
        </is>
      </c>
      <c r="F2" s="30" t="inlineStr">
        <is>
          <t>priced</t>
        </is>
      </c>
      <c r="G2" s="30" t="inlineStr">
        <is>
          <t>priced</t>
        </is>
      </c>
      <c r="H2" s="30" t="inlineStr">
        <is>
          <t>interior</t>
        </is>
      </c>
      <c r="I2" s="30" t="inlineStr">
        <is>
          <t>solid</t>
        </is>
      </c>
      <c r="J2" s="30" t="inlineStr">
        <is>
          <t>leaf</t>
        </is>
      </c>
      <c r="K2" s="30" t="inlineStr">
        <is>
          <t>single</t>
        </is>
      </c>
      <c r="L2" s="30" t="inlineStr">
        <is>
          <t>priced</t>
        </is>
      </c>
      <c r="M2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есть цена.
Стандартные размеры Ш×В (5): 600×1900;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ДПГ.</t>
        </is>
      </c>
    </row>
    <row r="3">
      <c r="A3" s="30" t="n">
        <v>2</v>
      </c>
      <c r="B3" s="30" t="inlineStr">
        <is>
          <t>ДПГ усиленная</t>
        </is>
      </c>
      <c r="C3" s="30" t="inlineStr">
        <is>
          <t>INT-002</t>
        </is>
      </c>
      <c r="D3" s="30" t="inlineStr">
        <is>
          <t>leaf</t>
        </is>
      </c>
      <c r="E3" s="30" t="inlineStr">
        <is>
          <t>priced</t>
        </is>
      </c>
      <c r="F3" s="30" t="inlineStr">
        <is>
          <t>priced</t>
        </is>
      </c>
      <c r="G3" s="30" t="inlineStr">
        <is>
          <t>not_priced</t>
        </is>
      </c>
      <c r="H3" s="30" t="inlineStr">
        <is>
          <t>interior</t>
        </is>
      </c>
      <c r="I3" s="30" t="inlineStr">
        <is>
          <t>solid</t>
        </is>
      </c>
      <c r="J3" s="30" t="inlineStr">
        <is>
          <t>leaf</t>
        </is>
      </c>
      <c r="K3" s="30" t="inlineStr">
        <is>
          <t>single</t>
        </is>
      </c>
      <c r="L3" s="30" t="inlineStr">
        <is>
          <t>priced</t>
        </is>
      </c>
      <c r="M3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цены нет — при запросе уточнять, не 0.
Стандартные размеры Ш×В (6): 550×1900; 600×1900;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ДПГ.</t>
        </is>
      </c>
    </row>
    <row r="4">
      <c r="A4" s="30" t="n">
        <v>3</v>
      </c>
      <c r="B4" s="30" t="inlineStr">
        <is>
          <t>ДПГ усиленная</t>
        </is>
      </c>
      <c r="C4" s="30" t="inlineStr">
        <is>
          <t>INT-003</t>
        </is>
      </c>
      <c r="D4" s="30" t="inlineStr">
        <is>
          <t>leaf</t>
        </is>
      </c>
      <c r="E4" s="30" t="inlineStr">
        <is>
          <t>priced</t>
        </is>
      </c>
      <c r="F4" s="30" t="inlineStr">
        <is>
          <t>priced</t>
        </is>
      </c>
      <c r="G4" s="30" t="inlineStr">
        <is>
          <t>not_priced</t>
        </is>
      </c>
      <c r="H4" s="30" t="inlineStr">
        <is>
          <t>interior</t>
        </is>
      </c>
      <c r="I4" s="30" t="inlineStr">
        <is>
          <t>solid</t>
        </is>
      </c>
      <c r="J4" s="30" t="inlineStr">
        <is>
          <t>leaf</t>
        </is>
      </c>
      <c r="K4" s="30" t="inlineStr">
        <is>
          <t>single</t>
        </is>
      </c>
      <c r="L4" s="30" t="inlineStr">
        <is>
          <t>priced</t>
        </is>
      </c>
      <c r="M4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цены нет — при запросе уточнять, не 0.
Стандартные размеры Ш×В (6): 550×1900; 600×1900;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ДПГ.</t>
        </is>
      </c>
    </row>
    <row r="5">
      <c r="A5" s="30" t="n">
        <v>4</v>
      </c>
      <c r="B5" s="30" t="inlineStr">
        <is>
          <t>Т-01 ГОСТ</t>
        </is>
      </c>
      <c r="C5" s="30" t="inlineStr">
        <is>
          <t>INT-004</t>
        </is>
      </c>
      <c r="D5" s="30" t="inlineStr">
        <is>
          <t>leaf</t>
        </is>
      </c>
      <c r="E5" s="30" t="inlineStr">
        <is>
          <t>priced</t>
        </is>
      </c>
      <c r="F5" s="30" t="inlineStr">
        <is>
          <t>priced</t>
        </is>
      </c>
      <c r="G5" s="30" t="inlineStr">
        <is>
          <t>priced</t>
        </is>
      </c>
      <c r="H5" s="30" t="inlineStr">
        <is>
          <t>interior</t>
        </is>
      </c>
      <c r="I5" s="30" t="inlineStr">
        <is>
          <t>solid</t>
        </is>
      </c>
      <c r="J5" s="30" t="inlineStr">
        <is>
          <t>leaf</t>
        </is>
      </c>
      <c r="K5" s="30" t="inlineStr">
        <is>
          <t>single</t>
        </is>
      </c>
      <c r="L5" s="30" t="inlineStr">
        <is>
          <t>priced</t>
        </is>
      </c>
      <c r="M5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есть цена.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</t>
        </is>
      </c>
    </row>
    <row r="6">
      <c r="A6" s="30" t="n">
        <v>5</v>
      </c>
      <c r="B6" s="30" t="inlineStr">
        <is>
          <t>ДПГ</t>
        </is>
      </c>
      <c r="C6" s="30" t="inlineStr">
        <is>
          <t>INT-005</t>
        </is>
      </c>
      <c r="D6" s="30" t="inlineStr">
        <is>
          <t>leaf</t>
        </is>
      </c>
      <c r="E6" s="30" t="inlineStr">
        <is>
          <t>priced</t>
        </is>
      </c>
      <c r="F6" s="30" t="inlineStr">
        <is>
          <t>priced</t>
        </is>
      </c>
      <c r="G6" s="30" t="inlineStr">
        <is>
          <t>priced</t>
        </is>
      </c>
      <c r="H6" s="30" t="inlineStr">
        <is>
          <t>interior</t>
        </is>
      </c>
      <c r="I6" s="30" t="inlineStr">
        <is>
          <t>solid</t>
        </is>
      </c>
      <c r="J6" s="30" t="inlineStr">
        <is>
          <t>leaf</t>
        </is>
      </c>
      <c r="K6" s="30" t="inlineStr">
        <is>
          <t>single</t>
        </is>
      </c>
      <c r="L6" s="30" t="inlineStr">
        <is>
          <t>priced</t>
        </is>
      </c>
      <c r="M6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есть цена.
Стандартные размеры Ш×В (8): 550×1900; 600×1900; 400×2000; 550×2000;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</t>
        </is>
      </c>
    </row>
    <row r="7">
      <c r="A7" s="30" t="n">
        <v>6</v>
      </c>
      <c r="B7" s="30" t="inlineStr">
        <is>
          <t>ДПО</t>
        </is>
      </c>
      <c r="C7" s="30" t="inlineStr">
        <is>
          <t>INT-006</t>
        </is>
      </c>
      <c r="D7" s="30" t="inlineStr">
        <is>
          <t>leaf</t>
        </is>
      </c>
      <c r="E7" s="30" t="inlineStr">
        <is>
          <t>priced</t>
        </is>
      </c>
      <c r="F7" s="30" t="inlineStr">
        <is>
          <t>priced</t>
        </is>
      </c>
      <c r="G7" s="30" t="inlineStr">
        <is>
          <t>priced</t>
        </is>
      </c>
      <c r="H7" s="30" t="inlineStr">
        <is>
          <t>interior</t>
        </is>
      </c>
      <c r="I7" s="30" t="inlineStr">
        <is>
          <t>glazed</t>
        </is>
      </c>
      <c r="J7" s="30" t="inlineStr">
        <is>
          <t>leaf</t>
        </is>
      </c>
      <c r="K7" s="30" t="inlineStr">
        <is>
          <t>single</t>
        </is>
      </c>
      <c r="L7" s="30" t="inlineStr">
        <is>
          <t>priced</t>
        </is>
      </c>
      <c r="M7" s="52" t="inlineStr">
        <is>
          <t>Единица цены: полотно; основание размера: полотно; однопольная; остеклённая.
Компоненты: коробка — есть цена; наличник — есть цена; добор — есть цена; порог — есть цена.
Стандартные размеры Ш×В (8): 550×1900; 600×1900; 400×2000; 550×2000;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</t>
        </is>
      </c>
    </row>
    <row r="8">
      <c r="A8" s="30" t="n">
        <v>7</v>
      </c>
      <c r="B8" s="30" t="inlineStr">
        <is>
          <t>ДПО с иллюминатором</t>
        </is>
      </c>
      <c r="C8" s="30" t="inlineStr">
        <is>
          <t>INT-007</t>
        </is>
      </c>
      <c r="D8" s="30" t="inlineStr">
        <is>
          <t>leaf</t>
        </is>
      </c>
      <c r="E8" s="30" t="inlineStr">
        <is>
          <t>priced</t>
        </is>
      </c>
      <c r="F8" s="30" t="inlineStr">
        <is>
          <t>priced</t>
        </is>
      </c>
      <c r="G8" s="30" t="inlineStr">
        <is>
          <t>priced</t>
        </is>
      </c>
      <c r="H8" s="30" t="inlineStr">
        <is>
          <t>interior</t>
        </is>
      </c>
      <c r="I8" s="30" t="inlineStr">
        <is>
          <t>glazed</t>
        </is>
      </c>
      <c r="J8" s="30" t="inlineStr">
        <is>
          <t>leaf</t>
        </is>
      </c>
      <c r="K8" s="30" t="inlineStr">
        <is>
          <t>single</t>
        </is>
      </c>
      <c r="L8" s="30" t="inlineStr">
        <is>
          <t>priced</t>
        </is>
      </c>
      <c r="M8" s="52" t="inlineStr">
        <is>
          <t>Единица цены: полотно; основание размера: полотно; однопольная; остеклённая.
Компоненты: коробка — есть цена; наличник — есть цена; добор — есть цена; порог — есть цена.
Стандартные размеры Ш×В (8): 550×1900; 600×1900; 400×2000; 550×2000;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ДПО.</t>
        </is>
      </c>
    </row>
    <row r="9">
      <c r="A9" s="30" t="n">
        <v>8</v>
      </c>
      <c r="B9" s="30" t="inlineStr">
        <is>
          <t>ДМ/ДС-1-Г-МДФ-CPL, сметный заказной блок</t>
        </is>
      </c>
      <c r="C9" s="30" t="inlineStr">
        <is>
          <t>INT-008</t>
        </is>
      </c>
      <c r="D9" s="30" t="inlineStr">
        <is>
          <t>block</t>
        </is>
      </c>
      <c r="E9" s="30" t="inlineStr">
        <is>
          <t>priced</t>
        </is>
      </c>
      <c r="F9" s="30" t="inlineStr">
        <is>
          <t>priced</t>
        </is>
      </c>
      <c r="G9" s="30" t="inlineStr">
        <is>
          <t>priced</t>
        </is>
      </c>
      <c r="H9" s="30" t="inlineStr">
        <is>
          <t>interior</t>
        </is>
      </c>
      <c r="I9" s="30" t="inlineStr">
        <is>
          <t>solid</t>
        </is>
      </c>
      <c r="J9" s="30" t="inlineStr">
        <is>
          <t>opening</t>
        </is>
      </c>
      <c r="K9" s="30" t="inlineStr">
        <is>
          <t>single</t>
        </is>
      </c>
      <c r="L9" s="30" t="inlineStr">
        <is>
          <t>included</t>
        </is>
      </c>
      <c r="M9" s="52" t="inlineStr">
        <is>
          <t>ВАЖНО: На листе «Прайс по ГОСТ» цена пустая. Не пропускать: цена базы собирается по правилу «Входит в базу»/«Подбор» — полотно INT-005 8 800 + коробка 3 160 = 11 960 ₽. Статус estimate_only — только предварительная смета с пометкой.
Единица цены: дверной блок; основание размера: проём; однопольная; глухая.
Компоненты: коробка — включена в цену; наличник — есть цена; добор — есть цена; порог — есть цена.
Стандартные размеры Ш×В (3): 700×2100; 800×2100; 900×2100.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ДМ-1-МДФ-Мд1-СМЕТА; ДС-1-МДФ-Мд1-СМЕТА.
Характеристики: facing_material = МДФ; mechanical_class = не подтверждено; moisture_resistant = не подтверждено; opening_type = swing.
Примечания в КП: Сметная комплектация из прайса. Требования Мд1 и влагостойкости не подтверждены документами на выбранный блок. | Наличники и добор взяты одним тарифным комплектом из прайса; ширина добора и раскрой уточняются.
Условия цены: status = calculated_market_estimate; estimate_only = True; price_scope = proposed_order_configuration; reference_date = 2026-10-17; tax = as_listed; estimate_profiles: MDF-HANDLE, MDF-LOCK, MDF-WET.
Фурнитура/опции для модели: OPT-003 Punto LOCKSET16.CRONA.4070-1 SN — 2124.54 ₽/шт; OPT-006 Петля IN4000U SN 100×70×2 — 123.54 ₽/шт; OPT-028 Punto METEOR, ручки с защёлкой без запирания — 723 ₽/шт.</t>
        </is>
      </c>
    </row>
    <row r="10">
      <c r="A10" s="30" t="n">
        <v>9</v>
      </c>
      <c r="B10" s="30" t="inlineStr">
        <is>
          <t>Гост Л-21 ПГ</t>
        </is>
      </c>
      <c r="C10" s="30" t="inlineStr">
        <is>
          <t>INT-009</t>
        </is>
      </c>
      <c r="D10" s="30" t="inlineStr">
        <is>
          <t>leaf</t>
        </is>
      </c>
      <c r="E10" s="30" t="inlineStr">
        <is>
          <t>priced</t>
        </is>
      </c>
      <c r="F10" s="30" t="inlineStr">
        <is>
          <t>priced</t>
        </is>
      </c>
      <c r="G10" s="30" t="inlineStr">
        <is>
          <t>not_priced</t>
        </is>
      </c>
      <c r="H10" s="30" t="inlineStr">
        <is>
          <t>interior</t>
        </is>
      </c>
      <c r="I10" s="30" t="inlineStr">
        <is>
          <t>solid</t>
        </is>
      </c>
      <c r="J10" s="30" t="inlineStr">
        <is>
          <t>leaf</t>
        </is>
      </c>
      <c r="K10" s="30" t="inlineStr">
        <is>
          <t>single</t>
        </is>
      </c>
      <c r="L10" s="30" t="inlineStr">
        <is>
          <t>priced</t>
        </is>
      </c>
      <c r="M10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цены нет — при запросе уточнять, не 0.
Стандартные размеры Ш×В (6): 550×1900; 600×1900;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ПГ.</t>
        </is>
      </c>
    </row>
    <row r="11">
      <c r="A11" s="30" t="n">
        <v>10</v>
      </c>
      <c r="B11" s="30" t="inlineStr">
        <is>
          <t>ДПГ усиленная</t>
        </is>
      </c>
      <c r="C11" s="30" t="inlineStr">
        <is>
          <t>INT-010</t>
        </is>
      </c>
      <c r="D11" s="30" t="inlineStr">
        <is>
          <t>leaf</t>
        </is>
      </c>
      <c r="E11" s="30" t="inlineStr">
        <is>
          <t>priced</t>
        </is>
      </c>
      <c r="F11" s="30" t="inlineStr">
        <is>
          <t>priced</t>
        </is>
      </c>
      <c r="G11" s="30" t="inlineStr">
        <is>
          <t>priced</t>
        </is>
      </c>
      <c r="H11" s="30" t="inlineStr">
        <is>
          <t>interior</t>
        </is>
      </c>
      <c r="I11" s="30" t="inlineStr">
        <is>
          <t>solid</t>
        </is>
      </c>
      <c r="J11" s="30" t="inlineStr">
        <is>
          <t>leaf</t>
        </is>
      </c>
      <c r="K11" s="30" t="inlineStr">
        <is>
          <t>single</t>
        </is>
      </c>
      <c r="L11" s="30" t="inlineStr">
        <is>
          <t>priced</t>
        </is>
      </c>
      <c r="M11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есть цена.
Стандартные размеры Ш×В (6): 550×1900; 600×1900;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ДПГ.</t>
        </is>
      </c>
    </row>
    <row r="12">
      <c r="A12" s="30" t="n">
        <v>11</v>
      </c>
      <c r="B12" s="30" t="inlineStr">
        <is>
          <t>ДПГ ПВХ</t>
        </is>
      </c>
      <c r="C12" s="30" t="inlineStr">
        <is>
          <t>INT-011</t>
        </is>
      </c>
      <c r="D12" s="30" t="inlineStr">
        <is>
          <t>leaf</t>
        </is>
      </c>
      <c r="E12" s="30" t="inlineStr">
        <is>
          <t>priced</t>
        </is>
      </c>
      <c r="F12" s="30" t="inlineStr">
        <is>
          <t>priced</t>
        </is>
      </c>
      <c r="G12" s="30" t="inlineStr">
        <is>
          <t>not_priced</t>
        </is>
      </c>
      <c r="H12" s="30" t="inlineStr">
        <is>
          <t>interior</t>
        </is>
      </c>
      <c r="I12" s="30" t="inlineStr">
        <is>
          <t>solid</t>
        </is>
      </c>
      <c r="J12" s="30" t="inlineStr">
        <is>
          <t>leaf</t>
        </is>
      </c>
      <c r="K12" s="30" t="inlineStr">
        <is>
          <t>single</t>
        </is>
      </c>
      <c r="L12" s="30" t="inlineStr">
        <is>
          <t>priced</t>
        </is>
      </c>
      <c r="M12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цены нет — при запросе уточнять, не 0.
Стандартные размеры Ш×В (6): 550×1900; 600×1900;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ДПГ; ПВХ.</t>
        </is>
      </c>
    </row>
    <row r="13">
      <c r="A13" s="30" t="n">
        <v>12</v>
      </c>
      <c r="B13" s="30" t="inlineStr">
        <is>
          <t>ДПО</t>
        </is>
      </c>
      <c r="C13" s="30" t="inlineStr">
        <is>
          <t>INT-012</t>
        </is>
      </c>
      <c r="D13" s="30" t="inlineStr">
        <is>
          <t>leaf</t>
        </is>
      </c>
      <c r="E13" s="30" t="inlineStr">
        <is>
          <t>priced</t>
        </is>
      </c>
      <c r="F13" s="30" t="inlineStr">
        <is>
          <t>priced</t>
        </is>
      </c>
      <c r="G13" s="30" t="inlineStr">
        <is>
          <t>not_priced</t>
        </is>
      </c>
      <c r="H13" s="30" t="inlineStr">
        <is>
          <t>interior</t>
        </is>
      </c>
      <c r="I13" s="30" t="inlineStr">
        <is>
          <t>glazed</t>
        </is>
      </c>
      <c r="J13" s="30" t="inlineStr">
        <is>
          <t>leaf</t>
        </is>
      </c>
      <c r="K13" s="30" t="inlineStr">
        <is>
          <t>single</t>
        </is>
      </c>
      <c r="L13" s="30" t="inlineStr">
        <is>
          <t>priced</t>
        </is>
      </c>
      <c r="M13" s="52" t="inlineStr">
        <is>
          <t>Единица цены: полотно; основание размера: полотно; однопольная; остеклённая.
Компоненты: коробка — есть цена; наличник — есть цена; добор — есть цена; порог — цены нет — при запросе уточнять, не 0.
Стандартные размеры Ш×В (5): 600×1900;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</t>
        </is>
      </c>
    </row>
    <row r="14">
      <c r="A14" s="30" t="n">
        <v>13</v>
      </c>
      <c r="B14" s="30" t="inlineStr">
        <is>
          <t>ДПГ CPL</t>
        </is>
      </c>
      <c r="C14" s="30" t="inlineStr">
        <is>
          <t>INT-013</t>
        </is>
      </c>
      <c r="D14" s="30" t="inlineStr">
        <is>
          <t>block</t>
        </is>
      </c>
      <c r="E14" s="30" t="inlineStr">
        <is>
          <t>priced</t>
        </is>
      </c>
      <c r="F14" s="30" t="inlineStr">
        <is>
          <t>not_priced</t>
        </is>
      </c>
      <c r="G14" s="30" t="inlineStr">
        <is>
          <t>not_priced</t>
        </is>
      </c>
      <c r="H14" s="30" t="inlineStr">
        <is>
          <t>interior</t>
        </is>
      </c>
      <c r="I14" s="30" t="inlineStr">
        <is>
          <t>solid</t>
        </is>
      </c>
      <c r="J14" s="30" t="inlineStr">
        <is>
          <t>block</t>
        </is>
      </c>
      <c r="K14" s="30" t="inlineStr">
        <is>
          <t>single</t>
        </is>
      </c>
      <c r="L14" s="30" t="inlineStr">
        <is>
          <t>included</t>
        </is>
      </c>
      <c r="M14" s="52" t="inlineStr">
        <is>
          <t>ВАЖНО: Бывшая строка «ДВ CPL» (23 900 ₽). Название на листе 1 изменено на «ДПГ CPL» — искать по синонимам «ДВ CPL», «ДВ 1Рп Г ПрБ», «Дверной блок деревянный внутренний…» (сделка 90025, 3 × 23 900 ₽ должна находиться без изменений).
Единица цены: дверной блок; основание размера: блок; однопольная; глухая.
Компоненты: коробка — включена в цену; наличник — есть цена; добор — цены нет — при запросе уточнять, не 0; порог — цены нет — при запросе уточнять, не 0.
Стандартные размеры Ш×В (5): 610×2100; 710×2100; 810×2100; 910×2100; 1010×2100.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ДПГ; CPL; ДВ CPL; ДВ 1Рп Г ПрБ; Дверной блок деревянный внутренний глухой однопольный.</t>
        </is>
      </c>
    </row>
    <row r="15">
      <c r="A15" s="30" t="n">
        <v>14</v>
      </c>
      <c r="B15" s="30" t="inlineStr">
        <is>
          <t>ДПО CPL</t>
        </is>
      </c>
      <c r="C15" s="30" t="inlineStr">
        <is>
          <t>INT-014</t>
        </is>
      </c>
      <c r="D15" s="30" t="inlineStr">
        <is>
          <t>block</t>
        </is>
      </c>
      <c r="E15" s="30" t="inlineStr">
        <is>
          <t>priced</t>
        </is>
      </c>
      <c r="F15" s="30" t="inlineStr">
        <is>
          <t>not_priced</t>
        </is>
      </c>
      <c r="G15" s="30" t="inlineStr">
        <is>
          <t>not_priced</t>
        </is>
      </c>
      <c r="H15" s="30" t="inlineStr">
        <is>
          <t>interior</t>
        </is>
      </c>
      <c r="I15" s="30" t="inlineStr">
        <is>
          <t>glazed</t>
        </is>
      </c>
      <c r="J15" s="30" t="inlineStr">
        <is>
          <t>block</t>
        </is>
      </c>
      <c r="K15" s="30" t="inlineStr">
        <is>
          <t>single</t>
        </is>
      </c>
      <c r="L15" s="30" t="inlineStr">
        <is>
          <t>included</t>
        </is>
      </c>
      <c r="M15" s="52" t="inlineStr">
        <is>
          <t>Единица цены: дверной блок; основание размера: блок; однопольная; остеклённая.
Компоненты: коробка — включена в цену; наличник — есть цена; добор — цены нет — при запросе уточнять, не 0; порог — цены нет — при запросе уточнять, не 0.
Стандартные размеры Ш×В (5): 610×2100; 710×2100; 810×2100; 910×2100; 1010×2100.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ДПО; CPL.</t>
        </is>
      </c>
    </row>
    <row r="16">
      <c r="A16" s="30" t="n">
        <v>15</v>
      </c>
      <c r="B16" s="30" t="inlineStr">
        <is>
          <t>Модель-0 ПГ Ash White, полотно для раздвижной системы</t>
        </is>
      </c>
      <c r="C16" s="30" t="inlineStr">
        <is>
          <t>INT-015</t>
        </is>
      </c>
      <c r="D16" s="30" t="inlineStr">
        <is>
          <t>leaf</t>
        </is>
      </c>
      <c r="E16" s="30" t="inlineStr">
        <is>
          <t>not_priced</t>
        </is>
      </c>
      <c r="F16" s="30" t="inlineStr">
        <is>
          <t>not_priced</t>
        </is>
      </c>
      <c r="G16" s="30" t="inlineStr">
        <is>
          <t>not_priced</t>
        </is>
      </c>
      <c r="H16" s="30" t="inlineStr">
        <is>
          <t>interior</t>
        </is>
      </c>
      <c r="I16" s="30" t="inlineStr">
        <is>
          <t>solid</t>
        </is>
      </c>
      <c r="J16" s="30" t="inlineStr">
        <is>
          <t>leaf</t>
        </is>
      </c>
      <c r="K16" s="30" t="inlineStr">
        <is>
          <t>single</t>
        </is>
      </c>
      <c r="L16" s="30" t="inlineStr">
        <is>
          <t>not_priced</t>
        </is>
      </c>
      <c r="M16" s="52" t="inlineStr">
        <is>
          <t>Единица цены: полотно; основание размера: полотно; однопольная; глухая.
Компоненты: коробка — цены нет — при запросе уточнять, не 0; наличник — цены нет — при запросе уточнять, не 0; добор — цены нет — при запросе уточнять, не 0; порог — цены нет — при запросе уточнять, не 0.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ДР-1-Г-ЭШ-60; раздвижная глухая экошпон; купе экошпон; откатная глухая экошпон.
Характеристики: weight_kg = 50; thickness_mm = не подтверждено; surface = smooth; opening_type = sliding_candidate.
Примечания в КП: Рыночная базовая цена для предварительного КП. Комплектация, применимость к проекту и итоговая цена исполнения подлежат уточнению.
Фурнитура/опции для модели: OPT-001 ECO SLIDING SET 1, до 60 кг — 4200 ₽/шт; OPT-002 Armadillo SH010 URB SN-3, ручка-купе — 1622 ₽/шт.</t>
        </is>
      </c>
    </row>
    <row r="17">
      <c r="A17" s="30" t="n">
        <v>16</v>
      </c>
      <c r="B17" s="30" t="inlineStr">
        <is>
          <t>ДОРС ГШП, глухое грунтованное полотно</t>
        </is>
      </c>
      <c r="C17" s="30" t="inlineStr">
        <is>
          <t>INT-016</t>
        </is>
      </c>
      <c r="D17" s="30" t="inlineStr">
        <is>
          <t>leaf</t>
        </is>
      </c>
      <c r="E17" s="30" t="inlineStr">
        <is>
          <t>priced</t>
        </is>
      </c>
      <c r="F17" s="30" t="inlineStr">
        <is>
          <t>not_priced</t>
        </is>
      </c>
      <c r="G17" s="30" t="inlineStr">
        <is>
          <t>not_priced</t>
        </is>
      </c>
      <c r="H17" s="30" t="inlineStr">
        <is>
          <t>interior</t>
        </is>
      </c>
      <c r="I17" s="30" t="inlineStr">
        <is>
          <t>solid</t>
        </is>
      </c>
      <c r="J17" s="30" t="inlineStr">
        <is>
          <t>leaf</t>
        </is>
      </c>
      <c r="K17" s="30" t="inlineStr">
        <is>
          <t>single</t>
        </is>
      </c>
      <c r="L17" s="30" t="inlineStr">
        <is>
          <t>priced</t>
        </is>
      </c>
      <c r="M17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цены нет — при запросе уточнять, не 0; порог — цены нет — при запросе уточнять, не 0.
Стандартные размеры Ш×В (7): 550×1900; 600×1900; 600×2000; 700×2000; 800×2000; 850×2000;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ДГ-ГР; ДВ-1-Г-ГР; ГШП грунт; грунтованная щитовая дверь; полотно под покраску.
Характеристики: thickness_mm = 40; surface = smooth; opening_type = swing; strength_class = не подтверждено.
Примечания в КП: Рыночная базовая цена для предварительного КП. Комплектация, применимость к проекту и итоговая цена исполнения подлежат уточнению.
Фурнитура/опции для модели: OPT-003 Punto LOCKSET16.CRONA.4070-1 SN — 2124.54 ₽/шт; OPT-004 Ajax RIM-200 code SN, кодовый накладной — 5601.93 ₽/шт; OPT-005 НОРА-М 3S мал., серый, арт. 4997 — 2631 ₽/шт; OPT-006 Петля IN4000U SN 100×70×2 — 123.54 ₽/шт.</t>
        </is>
      </c>
    </row>
    <row r="18">
      <c r="A18" s="30" t="n">
        <v>17</v>
      </c>
      <c r="B18" s="30" t="inlineStr">
        <is>
          <t>ДС-1-Г-ВЛ-ПВХ, влагостойкий блок ДГ-1-Пульс, белый</t>
        </is>
      </c>
      <c r="C18" s="30" t="inlineStr">
        <is>
          <t>INT-017</t>
        </is>
      </c>
      <c r="D18" s="30" t="inlineStr">
        <is>
          <t>block</t>
        </is>
      </c>
      <c r="E18" s="30" t="inlineStr">
        <is>
          <t>not_priced</t>
        </is>
      </c>
      <c r="F18" s="30" t="inlineStr">
        <is>
          <t>not_priced</t>
        </is>
      </c>
      <c r="G18" s="30" t="inlineStr">
        <is>
          <t>priced</t>
        </is>
      </c>
      <c r="H18" s="30" t="inlineStr">
        <is>
          <t>interior</t>
        </is>
      </c>
      <c r="I18" s="30" t="inlineStr">
        <is>
          <t>solid</t>
        </is>
      </c>
      <c r="J18" s="30" t="inlineStr">
        <is>
          <t>opening</t>
        </is>
      </c>
      <c r="K18" s="30" t="inlineStr">
        <is>
          <t>single</t>
        </is>
      </c>
      <c r="L18" s="30" t="inlineStr">
        <is>
          <t>included</t>
        </is>
      </c>
      <c r="M18" s="52" t="inlineStr">
        <is>
          <t>Единица цены: дверной блок; основание размера: проём; однопольная; глухая.
Компоненты: коробка — включена в цену; наличник — цены нет — при запросе уточнять, не 0; добор — цены нет — при запросе уточнять, не 0; порог — есть цена.
Стандартные размеры Ш×В (3): 700×2100; 800×2100; 900×2100.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ДС; ДС-1-Г-ВЛ-ПВХ; ДГ-1-Пульс; влагостойкий санузловой блок; санузловая глухая дверь.
Характеристики: moisture_resistant = True; opening_type = swing; handing = universal; frame_width_mm = 80; facing_thickness_mm = 1.5; nominal_opening_to_leaf = [{'opening_width_mm': 700, 'opening_height_mm': 2100, 'leaf_width_mm': 600, 'leaf_height_mm': 2000}, {'opening_width_mm': 800, 'opening_height_mm': 2100, 'leaf_width_mm': 700, 'leaf_height_mm': 2000}, {'opening_width_mm': 900, 'opening_height_mm': 2100, 'leaf_width_mm': 800, 'leaf_height_mm': 2000}].
Примечания в КП: Предложен базовый вариант санузлового блока: ДГ-1-Пульс, глухой, влагостойкий, белый ПВХ RAL 9016. Исполнение и соответствие проекту подлежат согласованию. | Размер указан как стандартный заказной типоразмер блока по проёму. Фактические габариты коробки уточняются при изготовлении. | Рыночная цена предварительная; сроки изготовления и адрес отгрузки уточняются у менеджера.
Фурнитура/опции для модели: OPT-007 Комплект фурнитуры ДГ-1-Пульс: замок, ручки, петли, цилиндр — 2780 ₽/шт.</t>
        </is>
      </c>
    </row>
    <row r="19">
      <c r="A19" s="30" t="n">
        <v>18</v>
      </c>
      <c r="B19" s="30" t="inlineStr">
        <is>
          <t>Верда Техно ДГ Белый, МДФ в полипропилене</t>
        </is>
      </c>
      <c r="C19" s="30" t="inlineStr">
        <is>
          <t>INT-018</t>
        </is>
      </c>
      <c r="D19" s="30" t="inlineStr">
        <is>
          <t>leaf</t>
        </is>
      </c>
      <c r="E19" s="30" t="inlineStr">
        <is>
          <t>priced</t>
        </is>
      </c>
      <c r="F19" s="30" t="inlineStr">
        <is>
          <t>priced</t>
        </is>
      </c>
      <c r="G19" s="30" t="inlineStr">
        <is>
          <t>not_priced</t>
        </is>
      </c>
      <c r="H19" s="30" t="inlineStr">
        <is>
          <t>interior</t>
        </is>
      </c>
      <c r="I19" s="30" t="inlineStr">
        <is>
          <t>solid</t>
        </is>
      </c>
      <c r="J19" s="30" t="inlineStr">
        <is>
          <t>leaf</t>
        </is>
      </c>
      <c r="K19" s="30" t="inlineStr">
        <is>
          <t>single</t>
        </is>
      </c>
      <c r="L19" s="30" t="inlineStr">
        <is>
          <t>priced</t>
        </is>
      </c>
      <c r="M19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цены нет — при запросе уточнять, не 0.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ДМ-1-Г-МДФ-PP-ТЕХНО.
Характеристики: color = Белый; facing_material = МДФ; mechanical_class = не подтверждено; moisture_resistant = не подтверждено; thickness_mm = не подтверждено; transom = False; opening_type = swing; component_bundles = {'frame': {'pieces': 3, 'piece_price_rub': 770, 'profile': '26×70×2070'}, 'trim': {'pieces': 5, 'piece_price_rub': 470, 'profile': '80×8×2150'}, 'extension': {'pieces': 3, 'piece_price_rub': 510, 'width_mm': 100}}.
Примечания в КП: 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 | Белый базовый вариант. Мд1 и пригодность для санузла документально не подтверждены. Коробка: 3 стойки 770 руб.; наличники: 5 планок 470 руб.; доборы 100 мм: 3 планки 510 руб. Это предложенный комплект; ширину доборов, раскрой и фактические размеры полотна согласовать. Проём 21-8/21-9 автоматически в полотно не переводится.
Условия цены: status = preliminary_market; reference_date = 2026-10-17; price_scope = listed_configuration; tax = as_published.
Фурнитура/опции для модели: OPT-003 Punto LOCKSET16.CRONA.4070-1 SN — 2124.54 ₽/шт; OPT-006 Петля IN4000U SN 100×70×2 — 123.54 ₽/шт; OPT-017 Санузловой МДФ: влагостойкое исполнение и порог — цены нет ₽/шт.</t>
        </is>
      </c>
    </row>
    <row r="20">
      <c r="A20" s="30" t="n">
        <v>19</v>
      </c>
      <c r="B20" s="30" t="inlineStr">
        <is>
          <t>ДПГ-0</t>
        </is>
      </c>
      <c r="C20" s="30" t="inlineStr">
        <is>
          <t>INT-019</t>
        </is>
      </c>
      <c r="D20" s="30" t="inlineStr">
        <is>
          <t>leaf</t>
        </is>
      </c>
      <c r="E20" s="30" t="inlineStr">
        <is>
          <t>priced</t>
        </is>
      </c>
      <c r="F20" s="30" t="inlineStr">
        <is>
          <t>priced</t>
        </is>
      </c>
      <c r="G20" s="30" t="inlineStr">
        <is>
          <t>not_priced</t>
        </is>
      </c>
      <c r="H20" s="30" t="inlineStr">
        <is>
          <t>interior</t>
        </is>
      </c>
      <c r="I20" s="30" t="inlineStr">
        <is>
          <t>solid</t>
        </is>
      </c>
      <c r="J20" s="30" t="inlineStr">
        <is>
          <t>leaf</t>
        </is>
      </c>
      <c r="K20" s="30" t="inlineStr">
        <is>
          <t>single</t>
        </is>
      </c>
      <c r="L20" s="30" t="inlineStr">
        <is>
          <t>priced</t>
        </is>
      </c>
      <c r="M20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цены нет — при запросе уточнять, не 0.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ДПГ.</t>
        </is>
      </c>
    </row>
    <row r="21">
      <c r="A21" s="30" t="n">
        <v>20</v>
      </c>
      <c r="B21" s="30" t="inlineStr">
        <is>
          <t>Модель-0 ПГ</t>
        </is>
      </c>
      <c r="C21" s="30" t="inlineStr">
        <is>
          <t>INT-020</t>
        </is>
      </c>
      <c r="D21" s="30" t="inlineStr">
        <is>
          <t>leaf</t>
        </is>
      </c>
      <c r="E21" s="30" t="inlineStr">
        <is>
          <t>priced</t>
        </is>
      </c>
      <c r="F21" s="30" t="inlineStr">
        <is>
          <t>priced</t>
        </is>
      </c>
      <c r="G21" s="30" t="inlineStr">
        <is>
          <t>not_priced</t>
        </is>
      </c>
      <c r="H21" s="30" t="inlineStr">
        <is>
          <t>interior</t>
        </is>
      </c>
      <c r="I21" s="30" t="inlineStr">
        <is>
          <t>solid</t>
        </is>
      </c>
      <c r="J21" s="30" t="inlineStr">
        <is>
          <t>leaf</t>
        </is>
      </c>
      <c r="K21" s="30" t="inlineStr">
        <is>
          <t>single</t>
        </is>
      </c>
      <c r="L21" s="30" t="inlineStr">
        <is>
          <t>priced</t>
        </is>
      </c>
      <c r="M21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цены нет — при запросе уточнять, не 0.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ПГ.</t>
        </is>
      </c>
    </row>
    <row r="22">
      <c r="A22" s="30" t="n">
        <v>21</v>
      </c>
      <c r="B22" s="30" t="inlineStr">
        <is>
          <t>ДДП Е-30</t>
        </is>
      </c>
      <c r="C22" s="30" t="inlineStr">
        <is>
          <t>INT-021</t>
        </is>
      </c>
      <c r="D22" s="30" t="inlineStr">
        <is>
          <t>leaf</t>
        </is>
      </c>
      <c r="E22" s="30" t="inlineStr">
        <is>
          <t>priced</t>
        </is>
      </c>
      <c r="F22" s="30" t="inlineStr">
        <is>
          <t>priced</t>
        </is>
      </c>
      <c r="G22" s="30" t="inlineStr">
        <is>
          <t>priced</t>
        </is>
      </c>
      <c r="H22" s="30" t="inlineStr">
        <is>
          <t>interior</t>
        </is>
      </c>
      <c r="I22" s="30" t="inlineStr">
        <is>
          <t>solid</t>
        </is>
      </c>
      <c r="J22" s="30" t="inlineStr">
        <is>
          <t>leaf</t>
        </is>
      </c>
      <c r="K22" s="30" t="inlineStr">
        <is>
          <t>single</t>
        </is>
      </c>
      <c r="L22" s="30" t="inlineStr">
        <is>
          <t>priced</t>
        </is>
      </c>
      <c r="M22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есть цена.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ДДП; Е-30.</t>
        </is>
      </c>
    </row>
    <row r="23">
      <c r="A23" s="30" t="n">
        <v>22</v>
      </c>
      <c r="B23" s="30" t="inlineStr">
        <is>
          <t>ДДПО Е-30</t>
        </is>
      </c>
      <c r="C23" s="30" t="inlineStr">
        <is>
          <t>INT-022</t>
        </is>
      </c>
      <c r="D23" s="30" t="inlineStr">
        <is>
          <t>leaf</t>
        </is>
      </c>
      <c r="E23" s="30" t="inlineStr">
        <is>
          <t>priced</t>
        </is>
      </c>
      <c r="F23" s="30" t="inlineStr">
        <is>
          <t>priced</t>
        </is>
      </c>
      <c r="G23" s="30" t="inlineStr">
        <is>
          <t>priced</t>
        </is>
      </c>
      <c r="H23" s="30" t="inlineStr">
        <is>
          <t>interior</t>
        </is>
      </c>
      <c r="I23" s="30" t="inlineStr">
        <is>
          <t>glazed</t>
        </is>
      </c>
      <c r="J23" s="30" t="inlineStr">
        <is>
          <t>leaf</t>
        </is>
      </c>
      <c r="K23" s="30" t="inlineStr">
        <is>
          <t>single</t>
        </is>
      </c>
      <c r="L23" s="30" t="inlineStr">
        <is>
          <t>priced</t>
        </is>
      </c>
      <c r="M23" s="52" t="inlineStr">
        <is>
          <t>Единица цены: полотно; основание размера: полотно; однопольная; остеклённая.
Компоненты: коробка — есть цена; наличник — есть цена; добор — есть цена; порог — есть цена.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ДДПО; Е-30.</t>
        </is>
      </c>
    </row>
    <row r="24">
      <c r="A24" s="30" t="n">
        <v>23</v>
      </c>
      <c r="B24" s="30" t="inlineStr">
        <is>
          <t>ДДП Е-30 двухстворчатая</t>
        </is>
      </c>
      <c r="C24" s="30" t="inlineStr">
        <is>
          <t>INT-023</t>
        </is>
      </c>
      <c r="D24" s="30" t="inlineStr">
        <is>
          <t>leaf_pair</t>
        </is>
      </c>
      <c r="E24" s="30" t="inlineStr">
        <is>
          <t>priced</t>
        </is>
      </c>
      <c r="F24" s="30" t="inlineStr">
        <is>
          <t>priced</t>
        </is>
      </c>
      <c r="G24" s="30" t="inlineStr">
        <is>
          <t>priced</t>
        </is>
      </c>
      <c r="H24" s="30" t="inlineStr">
        <is>
          <t>interior</t>
        </is>
      </c>
      <c r="I24" s="30" t="inlineStr">
        <is>
          <t>solid</t>
        </is>
      </c>
      <c r="J24" s="30" t="inlineStr">
        <is>
          <t>leaf</t>
        </is>
      </c>
      <c r="K24" s="30" t="inlineStr">
        <is>
          <t>each_leaf</t>
        </is>
      </c>
      <c r="L24" s="30" t="inlineStr">
        <is>
          <t>priced</t>
        </is>
      </c>
      <c r="M24" s="52" t="inlineStr">
        <is>
          <t>Единица цены: пара полотен; основание размера: полотно; двупольная, цена за каждое полотно; глухая.
Компоненты: коробка — есть цена; наличник — есть цена; добор — есть цена; порог — есть цена.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ДДП; Е-30.</t>
        </is>
      </c>
    </row>
    <row r="25">
      <c r="A25" s="30" t="n">
        <v>24</v>
      </c>
      <c r="B25" s="30" t="inlineStr">
        <is>
          <t>ДДПО Е-30 двухстворчатая</t>
        </is>
      </c>
      <c r="C25" s="30" t="inlineStr">
        <is>
          <t>INT-024</t>
        </is>
      </c>
      <c r="D25" s="30" t="inlineStr">
        <is>
          <t>leaf_pair</t>
        </is>
      </c>
      <c r="E25" s="30" t="inlineStr">
        <is>
          <t>priced</t>
        </is>
      </c>
      <c r="F25" s="30" t="inlineStr">
        <is>
          <t>priced</t>
        </is>
      </c>
      <c r="G25" s="30" t="inlineStr">
        <is>
          <t>priced</t>
        </is>
      </c>
      <c r="H25" s="30" t="inlineStr">
        <is>
          <t>interior</t>
        </is>
      </c>
      <c r="I25" s="30" t="inlineStr">
        <is>
          <t>glazed</t>
        </is>
      </c>
      <c r="J25" s="30" t="inlineStr">
        <is>
          <t>leaf_pair</t>
        </is>
      </c>
      <c r="K25" s="30" t="inlineStr">
        <is>
          <t>pair</t>
        </is>
      </c>
      <c r="L25" s="30" t="inlineStr">
        <is>
          <t>priced</t>
        </is>
      </c>
      <c r="M25" s="52" t="inlineStr">
        <is>
          <t>Единица цены: пара полотен; основание размера: пара полотен; двупольная (пара); остеклённая.
Компоненты: коробка — есть цена; наличник — есть цена; добор — есть цена; порог — есть цена.
Стандартные размеры Ш×В (4): 1000×2000 [400,600]; 1200×2000 [600,600]; 1400×2000 [700,700]; 1600×2000 [800,800].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ДДПО; Е-30.</t>
        </is>
      </c>
    </row>
    <row r="26">
      <c r="A26" s="30" t="n">
        <v>25</v>
      </c>
      <c r="B26" s="30" t="inlineStr">
        <is>
          <t>ДПГ EI30</t>
        </is>
      </c>
      <c r="C26" s="30" t="inlineStr">
        <is>
          <t>INT-025</t>
        </is>
      </c>
      <c r="D26" s="30" t="inlineStr">
        <is>
          <t>leaf</t>
        </is>
      </c>
      <c r="E26" s="30" t="inlineStr">
        <is>
          <t>priced</t>
        </is>
      </c>
      <c r="F26" s="30" t="inlineStr">
        <is>
          <t>priced</t>
        </is>
      </c>
      <c r="G26" s="30" t="inlineStr">
        <is>
          <t>priced</t>
        </is>
      </c>
      <c r="H26" s="30" t="inlineStr">
        <is>
          <t>interior</t>
        </is>
      </c>
      <c r="I26" s="30" t="inlineStr">
        <is>
          <t>solid</t>
        </is>
      </c>
      <c r="J26" s="30" t="inlineStr">
        <is>
          <t>leaf</t>
        </is>
      </c>
      <c r="K26" s="30" t="inlineStr">
        <is>
          <t>single</t>
        </is>
      </c>
      <c r="L26" s="30" t="inlineStr">
        <is>
          <t>priced</t>
        </is>
      </c>
      <c r="M26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есть цена.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ДПГ; EI30.</t>
        </is>
      </c>
    </row>
    <row r="27">
      <c r="A27" s="30" t="n">
        <v>26</v>
      </c>
      <c r="B27" s="30" t="inlineStr">
        <is>
          <t>ДПО EI30</t>
        </is>
      </c>
      <c r="C27" s="30" t="inlineStr">
        <is>
          <t>INT-026</t>
        </is>
      </c>
      <c r="D27" s="30" t="inlineStr">
        <is>
          <t>leaf</t>
        </is>
      </c>
      <c r="E27" s="30" t="inlineStr">
        <is>
          <t>priced</t>
        </is>
      </c>
      <c r="F27" s="30" t="inlineStr">
        <is>
          <t>priced</t>
        </is>
      </c>
      <c r="G27" s="30" t="inlineStr">
        <is>
          <t>priced</t>
        </is>
      </c>
      <c r="H27" s="30" t="inlineStr">
        <is>
          <t>interior</t>
        </is>
      </c>
      <c r="I27" s="30" t="inlineStr">
        <is>
          <t>glazed</t>
        </is>
      </c>
      <c r="J27" s="30" t="inlineStr">
        <is>
          <t>leaf</t>
        </is>
      </c>
      <c r="K27" s="30" t="inlineStr">
        <is>
          <t>single</t>
        </is>
      </c>
      <c r="L27" s="30" t="inlineStr">
        <is>
          <t>priced</t>
        </is>
      </c>
      <c r="M27" s="52" t="inlineStr">
        <is>
          <t>Единица цены: полотно; основание размера: полотно; однопольная; остеклённая.
Компоненты: коробка — есть цена; наличник — есть цена; добор — есть цена; порог — есть цена.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ДПО; EI30.</t>
        </is>
      </c>
    </row>
    <row r="28">
      <c r="A28" s="30" t="n">
        <v>27</v>
      </c>
      <c r="B28" s="30" t="inlineStr">
        <is>
          <t>ДПГ EI60</t>
        </is>
      </c>
      <c r="C28" s="30" t="inlineStr">
        <is>
          <t>INT-027</t>
        </is>
      </c>
      <c r="D28" s="30" t="inlineStr">
        <is>
          <t>leaf</t>
        </is>
      </c>
      <c r="E28" s="30" t="inlineStr">
        <is>
          <t>priced</t>
        </is>
      </c>
      <c r="F28" s="30" t="inlineStr">
        <is>
          <t>priced</t>
        </is>
      </c>
      <c r="G28" s="30" t="inlineStr">
        <is>
          <t>priced</t>
        </is>
      </c>
      <c r="H28" s="30" t="inlineStr">
        <is>
          <t>interior</t>
        </is>
      </c>
      <c r="I28" s="30" t="inlineStr">
        <is>
          <t>solid</t>
        </is>
      </c>
      <c r="J28" s="30" t="inlineStr">
        <is>
          <t>leaf</t>
        </is>
      </c>
      <c r="K28" s="30" t="inlineStr">
        <is>
          <t>single</t>
        </is>
      </c>
      <c r="L28" s="30" t="inlineStr">
        <is>
          <t>priced</t>
        </is>
      </c>
      <c r="M28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есть цена.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ДПГ; EI60.</t>
        </is>
      </c>
    </row>
    <row r="29">
      <c r="A29" s="30" t="n">
        <v>28</v>
      </c>
      <c r="B29" s="30" t="inlineStr">
        <is>
          <t>ДПО EI60</t>
        </is>
      </c>
      <c r="C29" s="30" t="inlineStr">
        <is>
          <t>INT-028</t>
        </is>
      </c>
      <c r="D29" s="30" t="inlineStr">
        <is>
          <t>leaf</t>
        </is>
      </c>
      <c r="E29" s="30" t="inlineStr">
        <is>
          <t>priced</t>
        </is>
      </c>
      <c r="F29" s="30" t="inlineStr">
        <is>
          <t>priced</t>
        </is>
      </c>
      <c r="G29" s="30" t="inlineStr">
        <is>
          <t>priced</t>
        </is>
      </c>
      <c r="H29" s="30" t="inlineStr">
        <is>
          <t>interior</t>
        </is>
      </c>
      <c r="I29" s="30" t="inlineStr">
        <is>
          <t>glazed</t>
        </is>
      </c>
      <c r="J29" s="30" t="inlineStr">
        <is>
          <t>leaf</t>
        </is>
      </c>
      <c r="K29" s="30" t="inlineStr">
        <is>
          <t>single</t>
        </is>
      </c>
      <c r="L29" s="30" t="inlineStr">
        <is>
          <t>priced</t>
        </is>
      </c>
      <c r="M29" s="52" t="inlineStr">
        <is>
          <t>Единица цены: полотно; основание размера: полотно; однопольная; остеклённая.
Компоненты: коробка — есть цена; наличник — есть цена; добор — есть цена; порог — есть цена.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
Синонимы для подбора: ДПО; EI60.</t>
        </is>
      </c>
    </row>
    <row r="30">
      <c r="A30" s="30" t="n">
        <v>29</v>
      </c>
      <c r="B30" s="30" t="inlineStr">
        <is>
          <t>ДПГ</t>
        </is>
      </c>
      <c r="C30" s="30" t="inlineStr">
        <is>
          <t>INT-029</t>
        </is>
      </c>
      <c r="D30" s="30" t="inlineStr">
        <is>
          <t>leaf</t>
        </is>
      </c>
      <c r="E30" s="30" t="inlineStr">
        <is>
          <t>priced</t>
        </is>
      </c>
      <c r="F30" s="30" t="inlineStr">
        <is>
          <t>priced</t>
        </is>
      </c>
      <c r="G30" s="30" t="inlineStr">
        <is>
          <t>priced</t>
        </is>
      </c>
      <c r="H30" s="30" t="inlineStr">
        <is>
          <t>interior</t>
        </is>
      </c>
      <c r="I30" s="30" t="inlineStr">
        <is>
          <t>solid</t>
        </is>
      </c>
      <c r="J30" s="30" t="inlineStr">
        <is>
          <t>leaf</t>
        </is>
      </c>
      <c r="K30" s="30" t="inlineStr">
        <is>
          <t>single</t>
        </is>
      </c>
      <c r="L30" s="30" t="inlineStr">
        <is>
          <t>priced</t>
        </is>
      </c>
      <c r="M30" s="52" t="inlineStr">
        <is>
          <t>Единица цены: полотно; основание размера: полотно; однопольная; глухая.
Компоненты: коробка — есть цена; наличник — есть цена; добор — есть цена; порог — есть цена.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</t>
        </is>
      </c>
    </row>
    <row r="31">
      <c r="A31" s="30" t="n">
        <v>30</v>
      </c>
      <c r="B31" s="30" t="inlineStr">
        <is>
          <t>ДПО</t>
        </is>
      </c>
      <c r="C31" s="30" t="inlineStr">
        <is>
          <t>INT-030</t>
        </is>
      </c>
      <c r="D31" s="30" t="inlineStr">
        <is>
          <t>leaf</t>
        </is>
      </c>
      <c r="E31" s="30" t="inlineStr">
        <is>
          <t>priced</t>
        </is>
      </c>
      <c r="F31" s="30" t="inlineStr">
        <is>
          <t>priced</t>
        </is>
      </c>
      <c r="G31" s="30" t="inlineStr">
        <is>
          <t>priced</t>
        </is>
      </c>
      <c r="H31" s="30" t="inlineStr">
        <is>
          <t>interior</t>
        </is>
      </c>
      <c r="I31" s="30" t="inlineStr">
        <is>
          <t>glazed</t>
        </is>
      </c>
      <c r="J31" s="30" t="inlineStr">
        <is>
          <t>leaf</t>
        </is>
      </c>
      <c r="K31" s="30" t="inlineStr">
        <is>
          <t>single</t>
        </is>
      </c>
      <c r="L31" s="30" t="inlineStr">
        <is>
          <t>priced</t>
        </is>
      </c>
      <c r="M31" s="52" t="inlineStr">
        <is>
          <t>Единица цены: полотно; основание размера: полотно; однопольная; остеклённая.
Компоненты: коробка — есть цена; наличник — есть цена; добор — есть цена; порог — есть цена.
Стандартные размеры Ш×В (4): 600×2000; 700×2000; 800×2000; 900×2000. Любое отличие — нестандарт: +30 % к базе; превышение &gt;30 % по ширине или высоте — +100 %; компоненты не индексируются; в КП: «Нестандартные позиции подлежат уточнению на производстве.»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4" customWidth="1" style="18" min="1" max="1"/>
    <col width="30" customWidth="1" style="18" min="2" max="2"/>
    <col width="20" customWidth="1" style="18" min="3" max="3"/>
    <col width="24" customWidth="1" style="18" min="4" max="4"/>
  </cols>
  <sheetData>
    <row r="1" ht="15" customHeight="1" s="19">
      <c r="A1" s="40" t="inlineStr">
        <is>
          <t>Полотно, мм</t>
        </is>
      </c>
      <c r="B1" s="40" t="inlineStr">
        <is>
          <t>Проём по марке, дм (ориентир)</t>
        </is>
      </c>
      <c r="C1" s="40" t="inlineStr">
        <is>
          <t>Пример ГОСТ 6629-88</t>
        </is>
      </c>
      <c r="D1" s="40" t="inlineStr">
        <is>
          <t>Пример ГОСТ 475-2016</t>
        </is>
      </c>
    </row>
    <row r="2" ht="15" customHeight="1" s="19">
      <c r="A2" s="41" t="inlineStr">
        <is>
          <t>2000×600</t>
        </is>
      </c>
      <c r="B2" s="41" t="inlineStr">
        <is>
          <t>21×7</t>
        </is>
      </c>
      <c r="C2" s="41" t="inlineStr">
        <is>
          <t>ДГ 21-7</t>
        </is>
      </c>
      <c r="D2" s="41" t="inlineStr">
        <is>
          <t>ДМ 1Рп 21×7 Г ПрБ</t>
        </is>
      </c>
    </row>
    <row r="3" ht="15" customHeight="1" s="19">
      <c r="A3" s="41" t="inlineStr">
        <is>
          <t>2000×700</t>
        </is>
      </c>
      <c r="B3" s="41" t="inlineStr">
        <is>
          <t>21×8</t>
        </is>
      </c>
      <c r="C3" s="41" t="inlineStr">
        <is>
          <t>ДГ 21-8</t>
        </is>
      </c>
      <c r="D3" s="41" t="inlineStr">
        <is>
          <t>ДМ 1Рп 21×8 Г ПрБ</t>
        </is>
      </c>
    </row>
    <row r="4" ht="15" customHeight="1" s="19">
      <c r="A4" s="41" t="inlineStr">
        <is>
          <t>2000×800</t>
        </is>
      </c>
      <c r="B4" s="41" t="inlineStr">
        <is>
          <t>21×9</t>
        </is>
      </c>
      <c r="C4" s="41" t="inlineStr">
        <is>
          <t>ДГ 21-9</t>
        </is>
      </c>
      <c r="D4" s="41" t="inlineStr">
        <is>
          <t>ДМ 1Рп 21×9 Г ПрБ</t>
        </is>
      </c>
    </row>
    <row r="5" ht="15" customHeight="1" s="19">
      <c r="A5" s="41" t="inlineStr">
        <is>
          <t>2000×900</t>
        </is>
      </c>
      <c r="B5" s="41" t="inlineStr">
        <is>
          <t>21×10</t>
        </is>
      </c>
      <c r="C5" s="41" t="inlineStr">
        <is>
          <t>ДГ 21-10</t>
        </is>
      </c>
      <c r="D5" s="41" t="inlineStr">
        <is>
          <t>ДМ 1Рп 21×10 Г ПрБ</t>
        </is>
      </c>
    </row>
    <row r="6" ht="15" customHeight="1" s="19">
      <c r="A6" s="41" t="inlineStr">
        <is>
          <t>1900×550, 1900×600, 2000×400, 2000×550</t>
        </is>
      </c>
      <c r="B6" s="41" t="inlineStr">
        <is>
          <t>нестандартные для этих марок</t>
        </is>
      </c>
      <c r="C6" s="41" t="inlineStr">
        <is>
          <t>—</t>
        </is>
      </c>
      <c r="D6" s="41" t="inlineStr">
        <is>
          <t>—</t>
        </is>
      </c>
    </row>
    <row r="8" ht="15" customHeight="1" s="19">
      <c r="A8" s="45" t="inlineStr">
        <is>
          <t>Допущение: проём = полотно + коробка, соответствие ориентировочное, по паспорту коробки не сверялось.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6" customWidth="1" style="18" min="1" max="1"/>
    <col width="70" customWidth="1" style="18" min="2" max="2"/>
    <col width="16" customWidth="1" style="18" min="3" max="4"/>
    <col width="16" customWidth="1" style="19" min="4" max="4"/>
    <col width="24" customWidth="1" style="19" min="5" max="5"/>
    <col width="30" customWidth="1" style="19" min="6" max="6"/>
    <col width="80" customWidth="1" style="19" min="7" max="7"/>
  </cols>
  <sheetData>
    <row r="1" ht="15" customHeight="1" s="19">
      <c r="A1" s="42" t="inlineStr">
        <is>
          <t>ГОСТ</t>
        </is>
      </c>
      <c r="B1" s="42" t="inlineStr">
        <is>
          <t>Что регламентирует</t>
        </is>
      </c>
      <c r="C1" s="42" t="inlineStr">
        <is>
          <t>Карточек на сайте</t>
        </is>
      </c>
      <c r="D1" s="42" t="inlineStr">
        <is>
          <t>Позиций в прайсе</t>
        </is>
      </c>
      <c r="E1" s="42" t="inlineStr">
        <is>
          <t>Роль</t>
        </is>
      </c>
      <c r="F1" s="42" t="inlineStr">
        <is>
          <t>Замена</t>
        </is>
      </c>
      <c r="G1" s="42" t="inlineStr">
        <is>
          <t>Правило агента</t>
        </is>
      </c>
    </row>
    <row r="2" ht="15" customHeight="1" s="19">
      <c r="A2" s="43" t="inlineStr">
        <is>
          <t>475-78</t>
        </is>
      </c>
      <c r="B2" s="43" t="inlineStr">
        <is>
          <t>Двери деревянные. Общие технические условия (утратил силу)</t>
        </is>
      </c>
      <c r="C2" s="43" t="n">
        <v>7</v>
      </c>
      <c r="D2" s="43" t="n">
        <v>1</v>
      </c>
      <c r="E2" s="43" t="inlineStr">
        <is>
          <t>Историческая редакция</t>
        </is>
      </c>
      <c r="F2" s="43" t="inlineStr">
        <is>
          <t>ГОСТ 475-2016 → ГОСТ 475-2026</t>
        </is>
      </c>
      <c r="G2" s="43" t="inlineStr">
        <is>
          <t>Понимать старые заявки, уточнять договорное требование.</t>
        </is>
      </c>
    </row>
    <row r="3" ht="15" customHeight="1" s="19">
      <c r="A3" s="43" t="inlineStr">
        <is>
          <t>6629-88</t>
        </is>
      </c>
      <c r="B3" s="43" t="inlineStr">
        <is>
          <t>Двери деревянные внутренние для жилых и общественных зданий</t>
        </is>
      </c>
      <c r="C3" s="43" t="n">
        <v>32</v>
      </c>
      <c r="D3" s="43" t="n">
        <v>6</v>
      </c>
      <c r="E3" s="43" t="inlineStr">
        <is>
          <t>Историческая маркировка</t>
        </is>
      </c>
      <c r="F3" s="43" t="inlineStr">
        <is>
          <t>ГОСТ 475-2016 → ГОСТ 475-2026</t>
        </is>
      </c>
      <c r="G3" s="43" t="inlineStr">
        <is>
          <t>ДГ 21-9: историческая марка и размер проёма, а не точный размер полотна.</t>
        </is>
      </c>
    </row>
    <row r="4" ht="15" customHeight="1" s="19">
      <c r="A4" s="43" t="inlineStr">
        <is>
          <t>475-2016</t>
        </is>
      </c>
      <c r="B4" s="43" t="inlineStr">
        <is>
          <t>Блоки дверные деревянные и комбинированные. Общие технические условия</t>
        </is>
      </c>
      <c r="C4" s="43" t="n">
        <v>14</v>
      </c>
      <c r="D4" s="43" t="n">
        <v>9</v>
      </c>
      <c r="E4" s="43" t="inlineStr">
        <is>
          <t>Историческая редакция</t>
        </is>
      </c>
      <c r="F4" s="43" t="inlineStr">
        <is>
          <t>ГОСТ 475-2026</t>
        </is>
      </c>
      <c r="G4" s="43" t="inlineStr">
        <is>
          <t>Сохранять обозначение клиента. Не заменять год в паспорте и марке автоматически.</t>
        </is>
      </c>
    </row>
    <row r="5" ht="15" customHeight="1" s="19">
      <c r="A5" s="43" t="inlineStr">
        <is>
          <t>26602.3-2016</t>
        </is>
      </c>
      <c r="B5" s="43" t="inlineStr">
        <is>
          <t>Блоки оконные и дверные. Метод определения звукоизоляции</t>
        </is>
      </c>
      <c r="C5" s="43" t="n">
        <v>52</v>
      </c>
      <c r="D5" s="43" t="n">
        <v>2</v>
      </c>
      <c r="E5" s="43" t="inlineStr">
        <is>
          <t>Метод испытания</t>
        </is>
      </c>
      <c r="F5" s="43" t="inlineStr">
        <is>
          <t>—</t>
        </is>
      </c>
      <c r="G5" s="43" t="inlineStr">
        <is>
          <t>Не присваивать Rw по одному номеру стандарта или диапазону рекламного описания.</t>
        </is>
      </c>
    </row>
    <row r="6" ht="15" customHeight="1" s="19">
      <c r="A6" s="43" t="inlineStr">
        <is>
          <t>Р 53307-2009</t>
        </is>
      </c>
      <c r="B6" s="43" t="inlineStr">
        <is>
          <t>Противопожарные двери и ворота. Метод испытаний на огнестойкость</t>
        </is>
      </c>
      <c r="C6" s="43" t="n">
        <v>56</v>
      </c>
      <c r="D6" s="43" t="n">
        <v>10</v>
      </c>
      <c r="E6" s="43" t="inlineStr">
        <is>
          <t>Метод испытания</t>
        </is>
      </c>
      <c r="F6" s="43" t="inlineStr">
        <is>
          <t>—</t>
        </is>
      </c>
      <c r="G6" s="43" t="inlineStr">
        <is>
          <t>Номер метода не присваивает EI модели. Дымогазопроницаемость им не подтверждается.</t>
        </is>
      </c>
    </row>
    <row r="7" ht="15" customHeight="1" s="19">
      <c r="A7" s="43" t="inlineStr">
        <is>
          <t>475-2026</t>
        </is>
      </c>
      <c r="B7" s="43" t="inlineStr">
        <is>
          <t>Деревянные и комбинированные дверные блоки</t>
        </is>
      </c>
      <c r="C7" s="43" t="inlineStr">
        <is>
          <t>—</t>
        </is>
      </c>
      <c r="D7" s="43" t="n">
        <v>0</v>
      </c>
      <c r="E7" s="43" t="inlineStr">
        <is>
          <t>Стандарт на изделие</t>
        </is>
      </c>
      <c r="F7" s="43" t="inlineStr">
        <is>
          <t>ГОСТ 475-2016</t>
        </is>
      </c>
      <c r="G7" s="43" t="inlineStr">
        <is>
          <t>Не подтверждает соответствие конкретной модели. Специальные противопожарные двери исключены из области применения.</t>
        </is>
      </c>
    </row>
    <row r="8" s="19">
      <c r="A8" s="43" t="inlineStr">
        <is>
          <t>Р 53303-2009</t>
        </is>
      </c>
      <c r="B8" s="43" t="inlineStr">
        <is>
          <t>Дымогазопроницаемость противопожарных дверей и ворот</t>
        </is>
      </c>
      <c r="C8" s="43" t="inlineStr">
        <is>
          <t>—</t>
        </is>
      </c>
      <c r="D8" s="43" t="n">
        <v>0</v>
      </c>
      <c r="E8" s="43" t="inlineStr">
        <is>
          <t>Метод испытания</t>
        </is>
      </c>
      <c r="F8" s="43" t="inlineStr">
        <is>
          <t>—</t>
        </is>
      </c>
      <c r="G8" s="43" t="inlineStr">
        <is>
          <t>Уплотнитель и EI не доказывают наличие показателя S.</t>
        </is>
      </c>
    </row>
    <row r="9" ht="15" customHeight="1" s="19">
      <c r="A9" s="43" t="inlineStr">
        <is>
          <t>Р 53308-2009</t>
        </is>
      </c>
      <c r="B9" s="43" t="inlineStr">
        <is>
          <t>Огнестойкость светопрозрачных конструкций</t>
        </is>
      </c>
      <c r="C9" s="43" t="inlineStr">
        <is>
          <t>—</t>
        </is>
      </c>
      <c r="D9" s="43" t="n">
        <v>0</v>
      </c>
      <c r="E9" s="43" t="inlineStr">
        <is>
          <t>Смежный метод испытания</t>
        </is>
      </c>
      <c r="F9" s="43" t="inlineStr">
        <is>
          <t>—</t>
        </is>
      </c>
      <c r="G9" s="43" t="inlineStr">
        <is>
          <t>Светопрозрачные и сильно остеклённые изделия не подбирать как обычные EI по сходству. Цен в этих прайсах нет.</t>
        </is>
      </c>
    </row>
    <row r="10" s="19">
      <c r="A10" s="43" t="inlineStr">
        <is>
          <t>30970-2023</t>
        </is>
      </c>
      <c r="B10" s="43" t="inlineStr">
        <is>
          <t>Блоки из ПВХ-профилей</t>
        </is>
      </c>
      <c r="C10" s="43" t="inlineStr">
        <is>
          <t>—</t>
        </is>
      </c>
      <c r="D10" s="43" t="n">
        <v>0</v>
      </c>
      <c r="E10" s="43" t="inlineStr">
        <is>
          <t>За пределами этих цен</t>
        </is>
      </c>
      <c r="F10" s="43" t="inlineStr">
        <is>
          <t>—</t>
        </is>
      </c>
      <c r="G10" s="43" t="inlineStr">
        <is>
          <t>ПВХ-профиль не равен деревянному полотну с ПВХ-плёнкой. Отдельного прайса нет.</t>
        </is>
      </c>
    </row>
    <row r="11" s="19">
      <c r="A11" s="44" t="inlineStr">
        <is>
          <t>Итого</t>
        </is>
      </c>
      <c r="B11" s="44" t="n"/>
      <c r="C11" s="44">
        <f>SUM(C2:C10)</f>
        <v/>
      </c>
      <c r="D11" s="44">
        <f>SUM(D2:D10)</f>
        <v/>
      </c>
      <c r="E11" s="44" t="n"/>
      <c r="F11" s="44" t="n"/>
      <c r="G11" s="44" t="n"/>
    </row>
    <row r="12" s="19"/>
    <row r="13" s="19">
      <c r="A13" s="45" t="inlineStr">
        <is>
          <t>Номер ГОСТа не определяет цену и не заменяет документы на конкретное исполнение.</t>
        </is>
      </c>
    </row>
    <row r="14" s="19"/>
    <row r="15" s="19"/>
    <row r="16" s="19"/>
    <row r="17" s="19"/>
    <row r="18" s="19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152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.32999992370605" customWidth="1" style="19" min="1" max="1"/>
    <col width="12.77999973297119" customWidth="1" style="19" min="2" max="2"/>
    <col width="14.4399995803833" customWidth="1" style="19" min="3" max="3"/>
    <col width="14.4399995803833" customWidth="1" style="19" min="4" max="4"/>
    <col width="17.78000068664551" customWidth="1" style="19" min="5" max="5"/>
    <col width="34.43999862670898" customWidth="1" style="19" min="6" max="6"/>
  </cols>
  <sheetData>
    <row r="2" ht="30" customHeight="1" s="19">
      <c r="A2" s="46" t="inlineStr">
        <is>
          <t>Стандартные размеры</t>
        </is>
      </c>
    </row>
    <row r="3" ht="24" customHeight="1" s="19">
      <c r="A3" s="45" t="inlineStr">
        <is>
          <t>Все размеры Ш×В, мм. leaf — полотно, block — блок, leaf_pair — пара полотен; отдельные ширины створок в JSON.</t>
        </is>
      </c>
    </row>
    <row r="4"/>
    <row r="5" ht="44" customHeight="1" s="19">
      <c r="A5" s="23" t="inlineStr">
        <is>
          <t>size_id</t>
        </is>
      </c>
      <c r="B5" s="23" t="inlineStr">
        <is>
          <t>product_id</t>
        </is>
      </c>
      <c r="C5" s="23" t="inlineStr">
        <is>
          <t>width_mm</t>
        </is>
      </c>
      <c r="D5" s="23" t="inlineStr">
        <is>
          <t>height_mm</t>
        </is>
      </c>
      <c r="E5" s="23" t="inlineStr">
        <is>
          <t>basis</t>
        </is>
      </c>
      <c r="F5" s="23" t="inlineStr">
        <is>
          <t>leaf_widths_mm JSON</t>
        </is>
      </c>
    </row>
    <row r="6" ht="36" customHeight="1" s="19">
      <c r="A6" s="30" t="inlineStr">
        <is>
          <t>INT-001-S001</t>
        </is>
      </c>
      <c r="B6" s="30" t="inlineStr">
        <is>
          <t>INT-001</t>
        </is>
      </c>
      <c r="C6" s="47" t="n">
        <v>600</v>
      </c>
      <c r="D6" s="47" t="n">
        <v>1900</v>
      </c>
      <c r="E6" s="30" t="inlineStr">
        <is>
          <t>leaf</t>
        </is>
      </c>
      <c r="F6" s="30" t="inlineStr">
        <is>
          <t>null</t>
        </is>
      </c>
    </row>
    <row r="7" ht="36" customHeight="1" s="19">
      <c r="A7" s="45" t="inlineStr">
        <is>
          <t>INT-001-S002</t>
        </is>
      </c>
      <c r="B7" s="45" t="inlineStr">
        <is>
          <t>INT-001</t>
        </is>
      </c>
      <c r="C7" s="18" t="n">
        <v>600</v>
      </c>
      <c r="D7" s="18" t="n">
        <v>2000</v>
      </c>
      <c r="E7" s="18" t="inlineStr">
        <is>
          <t>leaf</t>
        </is>
      </c>
      <c r="F7" s="18" t="inlineStr">
        <is>
          <t>null</t>
        </is>
      </c>
    </row>
    <row r="8" ht="36" customHeight="1" s="19">
      <c r="A8" s="30" t="inlineStr">
        <is>
          <t>INT-001-S003</t>
        </is>
      </c>
      <c r="B8" s="30" t="inlineStr">
        <is>
          <t>INT-001</t>
        </is>
      </c>
      <c r="C8" s="47" t="n">
        <v>700</v>
      </c>
      <c r="D8" s="47" t="n">
        <v>2000</v>
      </c>
      <c r="E8" s="30" t="inlineStr">
        <is>
          <t>leaf</t>
        </is>
      </c>
      <c r="F8" s="30" t="inlineStr">
        <is>
          <t>null</t>
        </is>
      </c>
    </row>
    <row r="9" ht="36" customHeight="1" s="19">
      <c r="A9" s="45" t="inlineStr">
        <is>
          <t>INT-001-S004</t>
        </is>
      </c>
      <c r="B9" s="45" t="inlineStr">
        <is>
          <t>INT-001</t>
        </is>
      </c>
      <c r="C9" s="18" t="n">
        <v>800</v>
      </c>
      <c r="D9" s="18" t="n">
        <v>2000</v>
      </c>
      <c r="E9" s="18" t="inlineStr">
        <is>
          <t>leaf</t>
        </is>
      </c>
      <c r="F9" s="18" t="inlineStr">
        <is>
          <t>null</t>
        </is>
      </c>
    </row>
    <row r="10" ht="36" customHeight="1" s="19">
      <c r="A10" s="30" t="inlineStr">
        <is>
          <t>INT-001-S005</t>
        </is>
      </c>
      <c r="B10" s="30" t="inlineStr">
        <is>
          <t>INT-001</t>
        </is>
      </c>
      <c r="C10" s="47" t="n">
        <v>900</v>
      </c>
      <c r="D10" s="47" t="n">
        <v>2000</v>
      </c>
      <c r="E10" s="30" t="inlineStr">
        <is>
          <t>leaf</t>
        </is>
      </c>
      <c r="F10" s="30" t="inlineStr">
        <is>
          <t>null</t>
        </is>
      </c>
    </row>
    <row r="11" ht="36" customHeight="1" s="19">
      <c r="A11" s="45" t="inlineStr">
        <is>
          <t>INT-002-S001</t>
        </is>
      </c>
      <c r="B11" s="45" t="inlineStr">
        <is>
          <t>INT-002</t>
        </is>
      </c>
      <c r="C11" s="18" t="n">
        <v>550</v>
      </c>
      <c r="D11" s="18" t="n">
        <v>1900</v>
      </c>
      <c r="E11" s="18" t="inlineStr">
        <is>
          <t>leaf</t>
        </is>
      </c>
      <c r="F11" s="18" t="inlineStr">
        <is>
          <t>null</t>
        </is>
      </c>
    </row>
    <row r="12" ht="36" customHeight="1" s="19">
      <c r="A12" s="30" t="inlineStr">
        <is>
          <t>INT-002-S002</t>
        </is>
      </c>
      <c r="B12" s="30" t="inlineStr">
        <is>
          <t>INT-002</t>
        </is>
      </c>
      <c r="C12" s="47" t="n">
        <v>600</v>
      </c>
      <c r="D12" s="47" t="n">
        <v>1900</v>
      </c>
      <c r="E12" s="30" t="inlineStr">
        <is>
          <t>leaf</t>
        </is>
      </c>
      <c r="F12" s="30" t="inlineStr">
        <is>
          <t>null</t>
        </is>
      </c>
    </row>
    <row r="13" ht="36" customHeight="1" s="19">
      <c r="A13" s="45" t="inlineStr">
        <is>
          <t>INT-002-S003</t>
        </is>
      </c>
      <c r="B13" s="45" t="inlineStr">
        <is>
          <t>INT-002</t>
        </is>
      </c>
      <c r="C13" s="18" t="n">
        <v>600</v>
      </c>
      <c r="D13" s="18" t="n">
        <v>2000</v>
      </c>
      <c r="E13" s="18" t="inlineStr">
        <is>
          <t>leaf</t>
        </is>
      </c>
      <c r="F13" s="18" t="inlineStr">
        <is>
          <t>null</t>
        </is>
      </c>
    </row>
    <row r="14" ht="36" customHeight="1" s="19">
      <c r="A14" s="30" t="inlineStr">
        <is>
          <t>INT-002-S004</t>
        </is>
      </c>
      <c r="B14" s="30" t="inlineStr">
        <is>
          <t>INT-002</t>
        </is>
      </c>
      <c r="C14" s="47" t="n">
        <v>700</v>
      </c>
      <c r="D14" s="47" t="n">
        <v>2000</v>
      </c>
      <c r="E14" s="30" t="inlineStr">
        <is>
          <t>leaf</t>
        </is>
      </c>
      <c r="F14" s="30" t="inlineStr">
        <is>
          <t>null</t>
        </is>
      </c>
    </row>
    <row r="15" ht="36" customHeight="1" s="19">
      <c r="A15" s="45" t="inlineStr">
        <is>
          <t>INT-002-S005</t>
        </is>
      </c>
      <c r="B15" s="45" t="inlineStr">
        <is>
          <t>INT-002</t>
        </is>
      </c>
      <c r="C15" s="18" t="n">
        <v>800</v>
      </c>
      <c r="D15" s="18" t="n">
        <v>2000</v>
      </c>
      <c r="E15" s="18" t="inlineStr">
        <is>
          <t>leaf</t>
        </is>
      </c>
      <c r="F15" s="18" t="inlineStr">
        <is>
          <t>null</t>
        </is>
      </c>
    </row>
    <row r="16" ht="36" customHeight="1" s="19">
      <c r="A16" s="30" t="inlineStr">
        <is>
          <t>INT-002-S006</t>
        </is>
      </c>
      <c r="B16" s="30" t="inlineStr">
        <is>
          <t>INT-002</t>
        </is>
      </c>
      <c r="C16" s="47" t="n">
        <v>900</v>
      </c>
      <c r="D16" s="47" t="n">
        <v>2000</v>
      </c>
      <c r="E16" s="30" t="inlineStr">
        <is>
          <t>leaf</t>
        </is>
      </c>
      <c r="F16" s="30" t="inlineStr">
        <is>
          <t>null</t>
        </is>
      </c>
    </row>
    <row r="17" ht="36" customHeight="1" s="19">
      <c r="A17" s="30" t="inlineStr">
        <is>
          <t>INT-003-S001</t>
        </is>
      </c>
      <c r="B17" s="30" t="inlineStr">
        <is>
          <t>INT-003</t>
        </is>
      </c>
      <c r="C17" s="47" t="n">
        <v>550</v>
      </c>
      <c r="D17" s="47" t="n">
        <v>1900</v>
      </c>
      <c r="E17" s="30" t="inlineStr">
        <is>
          <t>leaf</t>
        </is>
      </c>
      <c r="F17" s="30" t="inlineStr">
        <is>
          <t>null</t>
        </is>
      </c>
    </row>
    <row r="18" ht="36" customHeight="1" s="19">
      <c r="A18" s="30" t="inlineStr">
        <is>
          <t>INT-003-S002</t>
        </is>
      </c>
      <c r="B18" s="30" t="inlineStr">
        <is>
          <t>INT-003</t>
        </is>
      </c>
      <c r="C18" s="47" t="n">
        <v>600</v>
      </c>
      <c r="D18" s="47" t="n">
        <v>1900</v>
      </c>
      <c r="E18" s="30" t="inlineStr">
        <is>
          <t>leaf</t>
        </is>
      </c>
      <c r="F18" s="30" t="inlineStr">
        <is>
          <t>null</t>
        </is>
      </c>
    </row>
    <row r="19" ht="36" customHeight="1" s="19">
      <c r="A19" s="30" t="inlineStr">
        <is>
          <t>INT-003-S003</t>
        </is>
      </c>
      <c r="B19" s="30" t="inlineStr">
        <is>
          <t>INT-003</t>
        </is>
      </c>
      <c r="C19" s="47" t="n">
        <v>600</v>
      </c>
      <c r="D19" s="47" t="n">
        <v>2000</v>
      </c>
      <c r="E19" s="30" t="inlineStr">
        <is>
          <t>leaf</t>
        </is>
      </c>
      <c r="F19" s="30" t="inlineStr">
        <is>
          <t>null</t>
        </is>
      </c>
    </row>
    <row r="20" ht="36" customHeight="1" s="19">
      <c r="A20" s="30" t="inlineStr">
        <is>
          <t>INT-003-S004</t>
        </is>
      </c>
      <c r="B20" s="30" t="inlineStr">
        <is>
          <t>INT-003</t>
        </is>
      </c>
      <c r="C20" s="47" t="n">
        <v>700</v>
      </c>
      <c r="D20" s="47" t="n">
        <v>2000</v>
      </c>
      <c r="E20" s="30" t="inlineStr">
        <is>
          <t>leaf</t>
        </is>
      </c>
      <c r="F20" s="30" t="inlineStr">
        <is>
          <t>null</t>
        </is>
      </c>
    </row>
    <row r="21" ht="36" customHeight="1" s="19">
      <c r="A21" s="30" t="inlineStr">
        <is>
          <t>INT-003-S005</t>
        </is>
      </c>
      <c r="B21" s="30" t="inlineStr">
        <is>
          <t>INT-003</t>
        </is>
      </c>
      <c r="C21" s="47" t="n">
        <v>800</v>
      </c>
      <c r="D21" s="47" t="n">
        <v>2000</v>
      </c>
      <c r="E21" s="30" t="inlineStr">
        <is>
          <t>leaf</t>
        </is>
      </c>
      <c r="F21" s="30" t="inlineStr">
        <is>
          <t>null</t>
        </is>
      </c>
    </row>
    <row r="22" ht="36" customHeight="1" s="19">
      <c r="A22" s="30" t="inlineStr">
        <is>
          <t>INT-003-S006</t>
        </is>
      </c>
      <c r="B22" s="30" t="inlineStr">
        <is>
          <t>INT-003</t>
        </is>
      </c>
      <c r="C22" s="47" t="n">
        <v>900</v>
      </c>
      <c r="D22" s="47" t="n">
        <v>2000</v>
      </c>
      <c r="E22" s="30" t="inlineStr">
        <is>
          <t>leaf</t>
        </is>
      </c>
      <c r="F22" s="30" t="inlineStr">
        <is>
          <t>null</t>
        </is>
      </c>
    </row>
    <row r="23" ht="36" customHeight="1" s="19">
      <c r="A23" s="45" t="inlineStr">
        <is>
          <t>INT-004-S001</t>
        </is>
      </c>
      <c r="B23" s="45" t="inlineStr">
        <is>
          <t>INT-004</t>
        </is>
      </c>
      <c r="C23" s="18" t="n">
        <v>600</v>
      </c>
      <c r="D23" s="18" t="n">
        <v>2000</v>
      </c>
      <c r="E23" s="18" t="inlineStr">
        <is>
          <t>leaf</t>
        </is>
      </c>
      <c r="F23" s="18" t="inlineStr">
        <is>
          <t>null</t>
        </is>
      </c>
    </row>
    <row r="24" ht="36" customHeight="1" s="19">
      <c r="A24" s="30" t="inlineStr">
        <is>
          <t>INT-004-S002</t>
        </is>
      </c>
      <c r="B24" s="30" t="inlineStr">
        <is>
          <t>INT-004</t>
        </is>
      </c>
      <c r="C24" s="47" t="n">
        <v>700</v>
      </c>
      <c r="D24" s="47" t="n">
        <v>2000</v>
      </c>
      <c r="E24" s="30" t="inlineStr">
        <is>
          <t>leaf</t>
        </is>
      </c>
      <c r="F24" s="30" t="inlineStr">
        <is>
          <t>null</t>
        </is>
      </c>
    </row>
    <row r="25" ht="36" customHeight="1" s="19">
      <c r="A25" s="45" t="inlineStr">
        <is>
          <t>INT-004-S003</t>
        </is>
      </c>
      <c r="B25" s="45" t="inlineStr">
        <is>
          <t>INT-004</t>
        </is>
      </c>
      <c r="C25" s="18" t="n">
        <v>800</v>
      </c>
      <c r="D25" s="18" t="n">
        <v>2000</v>
      </c>
      <c r="E25" s="18" t="inlineStr">
        <is>
          <t>leaf</t>
        </is>
      </c>
      <c r="F25" s="18" t="inlineStr">
        <is>
          <t>null</t>
        </is>
      </c>
    </row>
    <row r="26" ht="36" customHeight="1" s="19">
      <c r="A26" s="30" t="inlineStr">
        <is>
          <t>INT-004-S004</t>
        </is>
      </c>
      <c r="B26" s="30" t="inlineStr">
        <is>
          <t>INT-004</t>
        </is>
      </c>
      <c r="C26" s="47" t="n">
        <v>900</v>
      </c>
      <c r="D26" s="47" t="n">
        <v>2000</v>
      </c>
      <c r="E26" s="30" t="inlineStr">
        <is>
          <t>leaf</t>
        </is>
      </c>
      <c r="F26" s="30" t="inlineStr">
        <is>
          <t>null</t>
        </is>
      </c>
    </row>
    <row r="27" ht="36" customHeight="1" s="19">
      <c r="A27" s="45" t="inlineStr">
        <is>
          <t>INT-005-S001</t>
        </is>
      </c>
      <c r="B27" s="45" t="inlineStr">
        <is>
          <t>INT-005</t>
        </is>
      </c>
      <c r="C27" s="18" t="n">
        <v>550</v>
      </c>
      <c r="D27" s="18" t="n">
        <v>1900</v>
      </c>
      <c r="E27" s="18" t="inlineStr">
        <is>
          <t>leaf</t>
        </is>
      </c>
      <c r="F27" s="18" t="inlineStr">
        <is>
          <t>null</t>
        </is>
      </c>
    </row>
    <row r="28" ht="36" customHeight="1" s="19">
      <c r="A28" s="30" t="inlineStr">
        <is>
          <t>INT-005-S002</t>
        </is>
      </c>
      <c r="B28" s="30" t="inlineStr">
        <is>
          <t>INT-005</t>
        </is>
      </c>
      <c r="C28" s="47" t="n">
        <v>600</v>
      </c>
      <c r="D28" s="47" t="n">
        <v>1900</v>
      </c>
      <c r="E28" s="30" t="inlineStr">
        <is>
          <t>leaf</t>
        </is>
      </c>
      <c r="F28" s="30" t="inlineStr">
        <is>
          <t>null</t>
        </is>
      </c>
    </row>
    <row r="29" ht="36" customHeight="1" s="19">
      <c r="A29" s="45" t="inlineStr">
        <is>
          <t>INT-005-S003</t>
        </is>
      </c>
      <c r="B29" s="45" t="inlineStr">
        <is>
          <t>INT-005</t>
        </is>
      </c>
      <c r="C29" s="18" t="n">
        <v>400</v>
      </c>
      <c r="D29" s="18" t="n">
        <v>2000</v>
      </c>
      <c r="E29" s="18" t="inlineStr">
        <is>
          <t>leaf</t>
        </is>
      </c>
      <c r="F29" s="18" t="inlineStr">
        <is>
          <t>null</t>
        </is>
      </c>
    </row>
    <row r="30" ht="36" customHeight="1" s="19">
      <c r="A30" s="30" t="inlineStr">
        <is>
          <t>INT-005-S004</t>
        </is>
      </c>
      <c r="B30" s="30" t="inlineStr">
        <is>
          <t>INT-005</t>
        </is>
      </c>
      <c r="C30" s="47" t="n">
        <v>550</v>
      </c>
      <c r="D30" s="47" t="n">
        <v>2000</v>
      </c>
      <c r="E30" s="30" t="inlineStr">
        <is>
          <t>leaf</t>
        </is>
      </c>
      <c r="F30" s="30" t="inlineStr">
        <is>
          <t>null</t>
        </is>
      </c>
    </row>
    <row r="31" ht="36" customHeight="1" s="19">
      <c r="A31" s="45" t="inlineStr">
        <is>
          <t>INT-005-S005</t>
        </is>
      </c>
      <c r="B31" s="45" t="inlineStr">
        <is>
          <t>INT-005</t>
        </is>
      </c>
      <c r="C31" s="18" t="n">
        <v>600</v>
      </c>
      <c r="D31" s="18" t="n">
        <v>2000</v>
      </c>
      <c r="E31" s="18" t="inlineStr">
        <is>
          <t>leaf</t>
        </is>
      </c>
      <c r="F31" s="18" t="inlineStr">
        <is>
          <t>null</t>
        </is>
      </c>
    </row>
    <row r="32" ht="36" customHeight="1" s="19">
      <c r="A32" s="30" t="inlineStr">
        <is>
          <t>INT-005-S006</t>
        </is>
      </c>
      <c r="B32" s="30" t="inlineStr">
        <is>
          <t>INT-005</t>
        </is>
      </c>
      <c r="C32" s="47" t="n">
        <v>700</v>
      </c>
      <c r="D32" s="47" t="n">
        <v>2000</v>
      </c>
      <c r="E32" s="30" t="inlineStr">
        <is>
          <t>leaf</t>
        </is>
      </c>
      <c r="F32" s="30" t="inlineStr">
        <is>
          <t>null</t>
        </is>
      </c>
    </row>
    <row r="33" ht="36" customHeight="1" s="19">
      <c r="A33" s="45" t="inlineStr">
        <is>
          <t>INT-005-S007</t>
        </is>
      </c>
      <c r="B33" s="45" t="inlineStr">
        <is>
          <t>INT-005</t>
        </is>
      </c>
      <c r="C33" s="18" t="n">
        <v>800</v>
      </c>
      <c r="D33" s="18" t="n">
        <v>2000</v>
      </c>
      <c r="E33" s="18" t="inlineStr">
        <is>
          <t>leaf</t>
        </is>
      </c>
      <c r="F33" s="18" t="inlineStr">
        <is>
          <t>null</t>
        </is>
      </c>
    </row>
    <row r="34" ht="36" customHeight="1" s="19">
      <c r="A34" s="30" t="inlineStr">
        <is>
          <t>INT-005-S008</t>
        </is>
      </c>
      <c r="B34" s="30" t="inlineStr">
        <is>
          <t>INT-005</t>
        </is>
      </c>
      <c r="C34" s="47" t="n">
        <v>900</v>
      </c>
      <c r="D34" s="47" t="n">
        <v>2000</v>
      </c>
      <c r="E34" s="30" t="inlineStr">
        <is>
          <t>leaf</t>
        </is>
      </c>
      <c r="F34" s="30" t="inlineStr">
        <is>
          <t>null</t>
        </is>
      </c>
    </row>
    <row r="35" ht="36" customHeight="1" s="19">
      <c r="A35" s="45" t="inlineStr">
        <is>
          <t>INT-006-S001</t>
        </is>
      </c>
      <c r="B35" s="45" t="inlineStr">
        <is>
          <t>INT-006</t>
        </is>
      </c>
      <c r="C35" s="18" t="n">
        <v>550</v>
      </c>
      <c r="D35" s="18" t="n">
        <v>1900</v>
      </c>
      <c r="E35" s="18" t="inlineStr">
        <is>
          <t>leaf</t>
        </is>
      </c>
      <c r="F35" s="18" t="inlineStr">
        <is>
          <t>null</t>
        </is>
      </c>
    </row>
    <row r="36" ht="36" customHeight="1" s="19">
      <c r="A36" s="30" t="inlineStr">
        <is>
          <t>INT-006-S002</t>
        </is>
      </c>
      <c r="B36" s="30" t="inlineStr">
        <is>
          <t>INT-006</t>
        </is>
      </c>
      <c r="C36" s="47" t="n">
        <v>600</v>
      </c>
      <c r="D36" s="47" t="n">
        <v>1900</v>
      </c>
      <c r="E36" s="30" t="inlineStr">
        <is>
          <t>leaf</t>
        </is>
      </c>
      <c r="F36" s="30" t="inlineStr">
        <is>
          <t>null</t>
        </is>
      </c>
    </row>
    <row r="37" ht="36" customHeight="1" s="19">
      <c r="A37" s="45" t="inlineStr">
        <is>
          <t>INT-006-S003</t>
        </is>
      </c>
      <c r="B37" s="45" t="inlineStr">
        <is>
          <t>INT-006</t>
        </is>
      </c>
      <c r="C37" s="18" t="n">
        <v>400</v>
      </c>
      <c r="D37" s="18" t="n">
        <v>2000</v>
      </c>
      <c r="E37" s="18" t="inlineStr">
        <is>
          <t>leaf</t>
        </is>
      </c>
      <c r="F37" s="18" t="inlineStr">
        <is>
          <t>null</t>
        </is>
      </c>
    </row>
    <row r="38" ht="36" customHeight="1" s="19">
      <c r="A38" s="30" t="inlineStr">
        <is>
          <t>INT-006-S004</t>
        </is>
      </c>
      <c r="B38" s="30" t="inlineStr">
        <is>
          <t>INT-006</t>
        </is>
      </c>
      <c r="C38" s="47" t="n">
        <v>550</v>
      </c>
      <c r="D38" s="47" t="n">
        <v>2000</v>
      </c>
      <c r="E38" s="30" t="inlineStr">
        <is>
          <t>leaf</t>
        </is>
      </c>
      <c r="F38" s="30" t="inlineStr">
        <is>
          <t>null</t>
        </is>
      </c>
    </row>
    <row r="39" ht="36" customHeight="1" s="19">
      <c r="A39" s="45" t="inlineStr">
        <is>
          <t>INT-006-S005</t>
        </is>
      </c>
      <c r="B39" s="45" t="inlineStr">
        <is>
          <t>INT-006</t>
        </is>
      </c>
      <c r="C39" s="18" t="n">
        <v>600</v>
      </c>
      <c r="D39" s="18" t="n">
        <v>2000</v>
      </c>
      <c r="E39" s="18" t="inlineStr">
        <is>
          <t>leaf</t>
        </is>
      </c>
      <c r="F39" s="18" t="inlineStr">
        <is>
          <t>null</t>
        </is>
      </c>
    </row>
    <row r="40" ht="36" customHeight="1" s="19">
      <c r="A40" s="30" t="inlineStr">
        <is>
          <t>INT-006-S006</t>
        </is>
      </c>
      <c r="B40" s="30" t="inlineStr">
        <is>
          <t>INT-006</t>
        </is>
      </c>
      <c r="C40" s="47" t="n">
        <v>700</v>
      </c>
      <c r="D40" s="47" t="n">
        <v>2000</v>
      </c>
      <c r="E40" s="30" t="inlineStr">
        <is>
          <t>leaf</t>
        </is>
      </c>
      <c r="F40" s="30" t="inlineStr">
        <is>
          <t>null</t>
        </is>
      </c>
    </row>
    <row r="41" ht="36" customHeight="1" s="19">
      <c r="A41" s="45" t="inlineStr">
        <is>
          <t>INT-006-S007</t>
        </is>
      </c>
      <c r="B41" s="45" t="inlineStr">
        <is>
          <t>INT-006</t>
        </is>
      </c>
      <c r="C41" s="18" t="n">
        <v>800</v>
      </c>
      <c r="D41" s="18" t="n">
        <v>2000</v>
      </c>
      <c r="E41" s="18" t="inlineStr">
        <is>
          <t>leaf</t>
        </is>
      </c>
      <c r="F41" s="18" t="inlineStr">
        <is>
          <t>null</t>
        </is>
      </c>
    </row>
    <row r="42" ht="36" customHeight="1" s="19">
      <c r="A42" s="30" t="inlineStr">
        <is>
          <t>INT-006-S008</t>
        </is>
      </c>
      <c r="B42" s="30" t="inlineStr">
        <is>
          <t>INT-006</t>
        </is>
      </c>
      <c r="C42" s="47" t="n">
        <v>900</v>
      </c>
      <c r="D42" s="47" t="n">
        <v>2000</v>
      </c>
      <c r="E42" s="30" t="inlineStr">
        <is>
          <t>leaf</t>
        </is>
      </c>
      <c r="F42" s="30" t="inlineStr">
        <is>
          <t>null</t>
        </is>
      </c>
    </row>
    <row r="43" ht="36" customHeight="1" s="19">
      <c r="A43" s="45" t="inlineStr">
        <is>
          <t>INT-007-S001</t>
        </is>
      </c>
      <c r="B43" s="45" t="inlineStr">
        <is>
          <t>INT-007</t>
        </is>
      </c>
      <c r="C43" s="18" t="n">
        <v>550</v>
      </c>
      <c r="D43" s="18" t="n">
        <v>1900</v>
      </c>
      <c r="E43" s="18" t="inlineStr">
        <is>
          <t>leaf</t>
        </is>
      </c>
      <c r="F43" s="18" t="inlineStr">
        <is>
          <t>null</t>
        </is>
      </c>
    </row>
    <row r="44" ht="36" customHeight="1" s="19">
      <c r="A44" s="30" t="inlineStr">
        <is>
          <t>INT-007-S002</t>
        </is>
      </c>
      <c r="B44" s="30" t="inlineStr">
        <is>
          <t>INT-007</t>
        </is>
      </c>
      <c r="C44" s="47" t="n">
        <v>600</v>
      </c>
      <c r="D44" s="47" t="n">
        <v>1900</v>
      </c>
      <c r="E44" s="30" t="inlineStr">
        <is>
          <t>leaf</t>
        </is>
      </c>
      <c r="F44" s="30" t="inlineStr">
        <is>
          <t>null</t>
        </is>
      </c>
    </row>
    <row r="45" ht="36" customHeight="1" s="19">
      <c r="A45" s="45" t="inlineStr">
        <is>
          <t>INT-007-S003</t>
        </is>
      </c>
      <c r="B45" s="45" t="inlineStr">
        <is>
          <t>INT-007</t>
        </is>
      </c>
      <c r="C45" s="18" t="n">
        <v>400</v>
      </c>
      <c r="D45" s="18" t="n">
        <v>2000</v>
      </c>
      <c r="E45" s="18" t="inlineStr">
        <is>
          <t>leaf</t>
        </is>
      </c>
      <c r="F45" s="18" t="inlineStr">
        <is>
          <t>null</t>
        </is>
      </c>
    </row>
    <row r="46" ht="36" customHeight="1" s="19">
      <c r="A46" s="30" t="inlineStr">
        <is>
          <t>INT-007-S004</t>
        </is>
      </c>
      <c r="B46" s="30" t="inlineStr">
        <is>
          <t>INT-007</t>
        </is>
      </c>
      <c r="C46" s="47" t="n">
        <v>550</v>
      </c>
      <c r="D46" s="47" t="n">
        <v>2000</v>
      </c>
      <c r="E46" s="30" t="inlineStr">
        <is>
          <t>leaf</t>
        </is>
      </c>
      <c r="F46" s="30" t="inlineStr">
        <is>
          <t>null</t>
        </is>
      </c>
    </row>
    <row r="47" ht="36" customHeight="1" s="19">
      <c r="A47" s="45" t="inlineStr">
        <is>
          <t>INT-007-S005</t>
        </is>
      </c>
      <c r="B47" s="45" t="inlineStr">
        <is>
          <t>INT-007</t>
        </is>
      </c>
      <c r="C47" s="18" t="n">
        <v>600</v>
      </c>
      <c r="D47" s="18" t="n">
        <v>2000</v>
      </c>
      <c r="E47" s="18" t="inlineStr">
        <is>
          <t>leaf</t>
        </is>
      </c>
      <c r="F47" s="18" t="inlineStr">
        <is>
          <t>null</t>
        </is>
      </c>
    </row>
    <row r="48" ht="36" customHeight="1" s="19">
      <c r="A48" s="30" t="inlineStr">
        <is>
          <t>INT-007-S006</t>
        </is>
      </c>
      <c r="B48" s="30" t="inlineStr">
        <is>
          <t>INT-007</t>
        </is>
      </c>
      <c r="C48" s="47" t="n">
        <v>700</v>
      </c>
      <c r="D48" s="47" t="n">
        <v>2000</v>
      </c>
      <c r="E48" s="30" t="inlineStr">
        <is>
          <t>leaf</t>
        </is>
      </c>
      <c r="F48" s="30" t="inlineStr">
        <is>
          <t>null</t>
        </is>
      </c>
    </row>
    <row r="49" ht="36" customHeight="1" s="19">
      <c r="A49" s="45" t="inlineStr">
        <is>
          <t>INT-007-S007</t>
        </is>
      </c>
      <c r="B49" s="45" t="inlineStr">
        <is>
          <t>INT-007</t>
        </is>
      </c>
      <c r="C49" s="18" t="n">
        <v>800</v>
      </c>
      <c r="D49" s="18" t="n">
        <v>2000</v>
      </c>
      <c r="E49" s="18" t="inlineStr">
        <is>
          <t>leaf</t>
        </is>
      </c>
      <c r="F49" s="18" t="inlineStr">
        <is>
          <t>null</t>
        </is>
      </c>
    </row>
    <row r="50" ht="36" customHeight="1" s="19">
      <c r="A50" s="30" t="inlineStr">
        <is>
          <t>INT-007-S008</t>
        </is>
      </c>
      <c r="B50" s="30" t="inlineStr">
        <is>
          <t>INT-007</t>
        </is>
      </c>
      <c r="C50" s="47" t="n">
        <v>900</v>
      </c>
      <c r="D50" s="47" t="n">
        <v>2000</v>
      </c>
      <c r="E50" s="30" t="inlineStr">
        <is>
          <t>leaf</t>
        </is>
      </c>
      <c r="F50" s="30" t="inlineStr">
        <is>
          <t>null</t>
        </is>
      </c>
    </row>
    <row r="51" ht="36" customHeight="1" s="19">
      <c r="A51" s="45" t="inlineStr">
        <is>
          <t>INT-009-S001</t>
        </is>
      </c>
      <c r="B51" s="45" t="inlineStr">
        <is>
          <t>INT-009</t>
        </is>
      </c>
      <c r="C51" s="18" t="n">
        <v>550</v>
      </c>
      <c r="D51" s="18" t="n">
        <v>1900</v>
      </c>
      <c r="E51" s="18" t="inlineStr">
        <is>
          <t>leaf</t>
        </is>
      </c>
      <c r="F51" s="18" t="inlineStr">
        <is>
          <t>null</t>
        </is>
      </c>
    </row>
    <row r="52" ht="36" customHeight="1" s="19">
      <c r="A52" s="30" t="inlineStr">
        <is>
          <t>INT-009-S002</t>
        </is>
      </c>
      <c r="B52" s="30" t="inlineStr">
        <is>
          <t>INT-009</t>
        </is>
      </c>
      <c r="C52" s="47" t="n">
        <v>600</v>
      </c>
      <c r="D52" s="47" t="n">
        <v>1900</v>
      </c>
      <c r="E52" s="30" t="inlineStr">
        <is>
          <t>leaf</t>
        </is>
      </c>
      <c r="F52" s="30" t="inlineStr">
        <is>
          <t>null</t>
        </is>
      </c>
    </row>
    <row r="53" ht="36" customHeight="1" s="19">
      <c r="A53" s="45" t="inlineStr">
        <is>
          <t>INT-009-S003</t>
        </is>
      </c>
      <c r="B53" s="45" t="inlineStr">
        <is>
          <t>INT-009</t>
        </is>
      </c>
      <c r="C53" s="18" t="n">
        <v>600</v>
      </c>
      <c r="D53" s="18" t="n">
        <v>2000</v>
      </c>
      <c r="E53" s="18" t="inlineStr">
        <is>
          <t>leaf</t>
        </is>
      </c>
      <c r="F53" s="18" t="inlineStr">
        <is>
          <t>null</t>
        </is>
      </c>
    </row>
    <row r="54" ht="36" customHeight="1" s="19">
      <c r="A54" s="30" t="inlineStr">
        <is>
          <t>INT-009-S004</t>
        </is>
      </c>
      <c r="B54" s="30" t="inlineStr">
        <is>
          <t>INT-009</t>
        </is>
      </c>
      <c r="C54" s="47" t="n">
        <v>700</v>
      </c>
      <c r="D54" s="47" t="n">
        <v>2000</v>
      </c>
      <c r="E54" s="30" t="inlineStr">
        <is>
          <t>leaf</t>
        </is>
      </c>
      <c r="F54" s="30" t="inlineStr">
        <is>
          <t>null</t>
        </is>
      </c>
    </row>
    <row r="55" ht="36" customHeight="1" s="19">
      <c r="A55" s="45" t="inlineStr">
        <is>
          <t>INT-009-S005</t>
        </is>
      </c>
      <c r="B55" s="45" t="inlineStr">
        <is>
          <t>INT-009</t>
        </is>
      </c>
      <c r="C55" s="18" t="n">
        <v>800</v>
      </c>
      <c r="D55" s="18" t="n">
        <v>2000</v>
      </c>
      <c r="E55" s="18" t="inlineStr">
        <is>
          <t>leaf</t>
        </is>
      </c>
      <c r="F55" s="18" t="inlineStr">
        <is>
          <t>null</t>
        </is>
      </c>
    </row>
    <row r="56" ht="36" customHeight="1" s="19">
      <c r="A56" s="30" t="inlineStr">
        <is>
          <t>INT-009-S006</t>
        </is>
      </c>
      <c r="B56" s="30" t="inlineStr">
        <is>
          <t>INT-009</t>
        </is>
      </c>
      <c r="C56" s="47" t="n">
        <v>900</v>
      </c>
      <c r="D56" s="47" t="n">
        <v>2000</v>
      </c>
      <c r="E56" s="30" t="inlineStr">
        <is>
          <t>leaf</t>
        </is>
      </c>
      <c r="F56" s="30" t="inlineStr">
        <is>
          <t>null</t>
        </is>
      </c>
    </row>
    <row r="57" ht="36" customHeight="1" s="19">
      <c r="A57" s="45" t="inlineStr">
        <is>
          <t>INT-010-S001</t>
        </is>
      </c>
      <c r="B57" s="45" t="inlineStr">
        <is>
          <t>INT-010</t>
        </is>
      </c>
      <c r="C57" s="18" t="n">
        <v>550</v>
      </c>
      <c r="D57" s="18" t="n">
        <v>1900</v>
      </c>
      <c r="E57" s="18" t="inlineStr">
        <is>
          <t>leaf</t>
        </is>
      </c>
      <c r="F57" s="18" t="inlineStr">
        <is>
          <t>null</t>
        </is>
      </c>
    </row>
    <row r="58" ht="36" customHeight="1" s="19">
      <c r="A58" s="30" t="inlineStr">
        <is>
          <t>INT-010-S002</t>
        </is>
      </c>
      <c r="B58" s="30" t="inlineStr">
        <is>
          <t>INT-010</t>
        </is>
      </c>
      <c r="C58" s="47" t="n">
        <v>600</v>
      </c>
      <c r="D58" s="47" t="n">
        <v>1900</v>
      </c>
      <c r="E58" s="30" t="inlineStr">
        <is>
          <t>leaf</t>
        </is>
      </c>
      <c r="F58" s="30" t="inlineStr">
        <is>
          <t>null</t>
        </is>
      </c>
    </row>
    <row r="59" ht="36" customHeight="1" s="19">
      <c r="A59" s="45" t="inlineStr">
        <is>
          <t>INT-010-S003</t>
        </is>
      </c>
      <c r="B59" s="45" t="inlineStr">
        <is>
          <t>INT-010</t>
        </is>
      </c>
      <c r="C59" s="18" t="n">
        <v>600</v>
      </c>
      <c r="D59" s="18" t="n">
        <v>2000</v>
      </c>
      <c r="E59" s="18" t="inlineStr">
        <is>
          <t>leaf</t>
        </is>
      </c>
      <c r="F59" s="18" t="inlineStr">
        <is>
          <t>null</t>
        </is>
      </c>
    </row>
    <row r="60" ht="36" customHeight="1" s="19">
      <c r="A60" s="30" t="inlineStr">
        <is>
          <t>INT-010-S004</t>
        </is>
      </c>
      <c r="B60" s="30" t="inlineStr">
        <is>
          <t>INT-010</t>
        </is>
      </c>
      <c r="C60" s="47" t="n">
        <v>700</v>
      </c>
      <c r="D60" s="47" t="n">
        <v>2000</v>
      </c>
      <c r="E60" s="30" t="inlineStr">
        <is>
          <t>leaf</t>
        </is>
      </c>
      <c r="F60" s="30" t="inlineStr">
        <is>
          <t>null</t>
        </is>
      </c>
    </row>
    <row r="61" ht="36" customHeight="1" s="19">
      <c r="A61" s="45" t="inlineStr">
        <is>
          <t>INT-010-S005</t>
        </is>
      </c>
      <c r="B61" s="45" t="inlineStr">
        <is>
          <t>INT-010</t>
        </is>
      </c>
      <c r="C61" s="18" t="n">
        <v>800</v>
      </c>
      <c r="D61" s="18" t="n">
        <v>2000</v>
      </c>
      <c r="E61" s="18" t="inlineStr">
        <is>
          <t>leaf</t>
        </is>
      </c>
      <c r="F61" s="18" t="inlineStr">
        <is>
          <t>null</t>
        </is>
      </c>
    </row>
    <row r="62" ht="36" customHeight="1" s="19">
      <c r="A62" s="30" t="inlineStr">
        <is>
          <t>INT-010-S006</t>
        </is>
      </c>
      <c r="B62" s="30" t="inlineStr">
        <is>
          <t>INT-010</t>
        </is>
      </c>
      <c r="C62" s="47" t="n">
        <v>900</v>
      </c>
      <c r="D62" s="47" t="n">
        <v>2000</v>
      </c>
      <c r="E62" s="30" t="inlineStr">
        <is>
          <t>leaf</t>
        </is>
      </c>
      <c r="F62" s="30" t="inlineStr">
        <is>
          <t>null</t>
        </is>
      </c>
    </row>
    <row r="63" ht="36" customHeight="1" s="19">
      <c r="A63" s="45" t="inlineStr">
        <is>
          <t>INT-011-S001</t>
        </is>
      </c>
      <c r="B63" s="45" t="inlineStr">
        <is>
          <t>INT-011</t>
        </is>
      </c>
      <c r="C63" s="18" t="n">
        <v>550</v>
      </c>
      <c r="D63" s="18" t="n">
        <v>1900</v>
      </c>
      <c r="E63" s="18" t="inlineStr">
        <is>
          <t>leaf</t>
        </is>
      </c>
      <c r="F63" s="18" t="inlineStr">
        <is>
          <t>null</t>
        </is>
      </c>
    </row>
    <row r="64" ht="36" customHeight="1" s="19">
      <c r="A64" s="30" t="inlineStr">
        <is>
          <t>INT-011-S002</t>
        </is>
      </c>
      <c r="B64" s="30" t="inlineStr">
        <is>
          <t>INT-011</t>
        </is>
      </c>
      <c r="C64" s="47" t="n">
        <v>600</v>
      </c>
      <c r="D64" s="47" t="n">
        <v>1900</v>
      </c>
      <c r="E64" s="30" t="inlineStr">
        <is>
          <t>leaf</t>
        </is>
      </c>
      <c r="F64" s="30" t="inlineStr">
        <is>
          <t>null</t>
        </is>
      </c>
    </row>
    <row r="65" ht="36" customHeight="1" s="19">
      <c r="A65" s="45" t="inlineStr">
        <is>
          <t>INT-011-S003</t>
        </is>
      </c>
      <c r="B65" s="45" t="inlineStr">
        <is>
          <t>INT-011</t>
        </is>
      </c>
      <c r="C65" s="18" t="n">
        <v>600</v>
      </c>
      <c r="D65" s="18" t="n">
        <v>2000</v>
      </c>
      <c r="E65" s="18" t="inlineStr">
        <is>
          <t>leaf</t>
        </is>
      </c>
      <c r="F65" s="18" t="inlineStr">
        <is>
          <t>null</t>
        </is>
      </c>
    </row>
    <row r="66" ht="36" customHeight="1" s="19">
      <c r="A66" s="30" t="inlineStr">
        <is>
          <t>INT-011-S004</t>
        </is>
      </c>
      <c r="B66" s="30" t="inlineStr">
        <is>
          <t>INT-011</t>
        </is>
      </c>
      <c r="C66" s="47" t="n">
        <v>700</v>
      </c>
      <c r="D66" s="47" t="n">
        <v>2000</v>
      </c>
      <c r="E66" s="30" t="inlineStr">
        <is>
          <t>leaf</t>
        </is>
      </c>
      <c r="F66" s="30" t="inlineStr">
        <is>
          <t>null</t>
        </is>
      </c>
    </row>
    <row r="67" ht="36" customHeight="1" s="19">
      <c r="A67" s="45" t="inlineStr">
        <is>
          <t>INT-011-S005</t>
        </is>
      </c>
      <c r="B67" s="45" t="inlineStr">
        <is>
          <t>INT-011</t>
        </is>
      </c>
      <c r="C67" s="18" t="n">
        <v>800</v>
      </c>
      <c r="D67" s="18" t="n">
        <v>2000</v>
      </c>
      <c r="E67" s="18" t="inlineStr">
        <is>
          <t>leaf</t>
        </is>
      </c>
      <c r="F67" s="18" t="inlineStr">
        <is>
          <t>null</t>
        </is>
      </c>
    </row>
    <row r="68" ht="36" customHeight="1" s="19">
      <c r="A68" s="30" t="inlineStr">
        <is>
          <t>INT-011-S006</t>
        </is>
      </c>
      <c r="B68" s="30" t="inlineStr">
        <is>
          <t>INT-011</t>
        </is>
      </c>
      <c r="C68" s="47" t="n">
        <v>900</v>
      </c>
      <c r="D68" s="47" t="n">
        <v>2000</v>
      </c>
      <c r="E68" s="30" t="inlineStr">
        <is>
          <t>leaf</t>
        </is>
      </c>
      <c r="F68" s="30" t="inlineStr">
        <is>
          <t>null</t>
        </is>
      </c>
    </row>
    <row r="69" ht="36" customHeight="1" s="19">
      <c r="A69" s="45" t="inlineStr">
        <is>
          <t>INT-012-S001</t>
        </is>
      </c>
      <c r="B69" s="45" t="inlineStr">
        <is>
          <t>INT-012</t>
        </is>
      </c>
      <c r="C69" s="18" t="n">
        <v>600</v>
      </c>
      <c r="D69" s="18" t="n">
        <v>1900</v>
      </c>
      <c r="E69" s="18" t="inlineStr">
        <is>
          <t>leaf</t>
        </is>
      </c>
      <c r="F69" s="18" t="inlineStr">
        <is>
          <t>null</t>
        </is>
      </c>
    </row>
    <row r="70" ht="36" customHeight="1" s="19">
      <c r="A70" s="30" t="inlineStr">
        <is>
          <t>INT-012-S002</t>
        </is>
      </c>
      <c r="B70" s="30" t="inlineStr">
        <is>
          <t>INT-012</t>
        </is>
      </c>
      <c r="C70" s="47" t="n">
        <v>600</v>
      </c>
      <c r="D70" s="47" t="n">
        <v>2000</v>
      </c>
      <c r="E70" s="30" t="inlineStr">
        <is>
          <t>leaf</t>
        </is>
      </c>
      <c r="F70" s="30" t="inlineStr">
        <is>
          <t>null</t>
        </is>
      </c>
    </row>
    <row r="71" ht="36" customHeight="1" s="19">
      <c r="A71" s="45" t="inlineStr">
        <is>
          <t>INT-012-S003</t>
        </is>
      </c>
      <c r="B71" s="45" t="inlineStr">
        <is>
          <t>INT-012</t>
        </is>
      </c>
      <c r="C71" s="18" t="n">
        <v>700</v>
      </c>
      <c r="D71" s="18" t="n">
        <v>2000</v>
      </c>
      <c r="E71" s="18" t="inlineStr">
        <is>
          <t>leaf</t>
        </is>
      </c>
      <c r="F71" s="18" t="inlineStr">
        <is>
          <t>null</t>
        </is>
      </c>
    </row>
    <row r="72" ht="36" customHeight="1" s="19">
      <c r="A72" s="30" t="inlineStr">
        <is>
          <t>INT-012-S004</t>
        </is>
      </c>
      <c r="B72" s="30" t="inlineStr">
        <is>
          <t>INT-012</t>
        </is>
      </c>
      <c r="C72" s="47" t="n">
        <v>800</v>
      </c>
      <c r="D72" s="47" t="n">
        <v>2000</v>
      </c>
      <c r="E72" s="30" t="inlineStr">
        <is>
          <t>leaf</t>
        </is>
      </c>
      <c r="F72" s="30" t="inlineStr">
        <is>
          <t>null</t>
        </is>
      </c>
    </row>
    <row r="73" ht="36" customHeight="1" s="19">
      <c r="A73" s="45" t="inlineStr">
        <is>
          <t>INT-012-S005</t>
        </is>
      </c>
      <c r="B73" s="45" t="inlineStr">
        <is>
          <t>INT-012</t>
        </is>
      </c>
      <c r="C73" s="18" t="n">
        <v>900</v>
      </c>
      <c r="D73" s="18" t="n">
        <v>2000</v>
      </c>
      <c r="E73" s="18" t="inlineStr">
        <is>
          <t>leaf</t>
        </is>
      </c>
      <c r="F73" s="18" t="inlineStr">
        <is>
          <t>null</t>
        </is>
      </c>
    </row>
    <row r="74" ht="36" customHeight="1" s="19">
      <c r="A74" s="30" t="inlineStr">
        <is>
          <t>INT-013-S001</t>
        </is>
      </c>
      <c r="B74" s="30" t="inlineStr">
        <is>
          <t>INT-013</t>
        </is>
      </c>
      <c r="C74" s="47" t="n">
        <v>610</v>
      </c>
      <c r="D74" s="47" t="n">
        <v>2100</v>
      </c>
      <c r="E74" s="30" t="inlineStr">
        <is>
          <t>block</t>
        </is>
      </c>
      <c r="F74" s="30" t="inlineStr">
        <is>
          <t>null</t>
        </is>
      </c>
    </row>
    <row r="75" ht="36" customHeight="1" s="19">
      <c r="A75" s="45" t="inlineStr">
        <is>
          <t>INT-013-S002</t>
        </is>
      </c>
      <c r="B75" s="45" t="inlineStr">
        <is>
          <t>INT-013</t>
        </is>
      </c>
      <c r="C75" s="18" t="n">
        <v>710</v>
      </c>
      <c r="D75" s="18" t="n">
        <v>2100</v>
      </c>
      <c r="E75" s="18" t="inlineStr">
        <is>
          <t>block</t>
        </is>
      </c>
      <c r="F75" s="18" t="inlineStr">
        <is>
          <t>null</t>
        </is>
      </c>
    </row>
    <row r="76" ht="36" customHeight="1" s="19">
      <c r="A76" s="30" t="inlineStr">
        <is>
          <t>INT-013-S003</t>
        </is>
      </c>
      <c r="B76" s="30" t="inlineStr">
        <is>
          <t>INT-013</t>
        </is>
      </c>
      <c r="C76" s="47" t="n">
        <v>810</v>
      </c>
      <c r="D76" s="47" t="n">
        <v>2100</v>
      </c>
      <c r="E76" s="30" t="inlineStr">
        <is>
          <t>block</t>
        </is>
      </c>
      <c r="F76" s="30" t="inlineStr">
        <is>
          <t>null</t>
        </is>
      </c>
    </row>
    <row r="77" ht="36" customHeight="1" s="19">
      <c r="A77" s="45" t="inlineStr">
        <is>
          <t>INT-013-S004</t>
        </is>
      </c>
      <c r="B77" s="45" t="inlineStr">
        <is>
          <t>INT-013</t>
        </is>
      </c>
      <c r="C77" s="18" t="n">
        <v>910</v>
      </c>
      <c r="D77" s="18" t="n">
        <v>2100</v>
      </c>
      <c r="E77" s="18" t="inlineStr">
        <is>
          <t>block</t>
        </is>
      </c>
      <c r="F77" s="18" t="inlineStr">
        <is>
          <t>null</t>
        </is>
      </c>
    </row>
    <row r="78" ht="36" customHeight="1" s="19">
      <c r="A78" s="30" t="inlineStr">
        <is>
          <t>INT-013-S005</t>
        </is>
      </c>
      <c r="B78" s="30" t="inlineStr">
        <is>
          <t>INT-013</t>
        </is>
      </c>
      <c r="C78" s="47" t="n">
        <v>1010</v>
      </c>
      <c r="D78" s="47" t="n">
        <v>2100</v>
      </c>
      <c r="E78" s="30" t="inlineStr">
        <is>
          <t>block</t>
        </is>
      </c>
      <c r="F78" s="30" t="inlineStr">
        <is>
          <t>null</t>
        </is>
      </c>
    </row>
    <row r="79" ht="36" customHeight="1" s="19">
      <c r="A79" s="30" t="inlineStr">
        <is>
          <t>INT-014-S001</t>
        </is>
      </c>
      <c r="B79" s="30" t="inlineStr">
        <is>
          <t>INT-014</t>
        </is>
      </c>
      <c r="C79" s="47" t="n">
        <v>610</v>
      </c>
      <c r="D79" s="47" t="n">
        <v>2100</v>
      </c>
      <c r="E79" s="30" t="inlineStr">
        <is>
          <t>block</t>
        </is>
      </c>
      <c r="F79" s="30" t="inlineStr">
        <is>
          <t>null</t>
        </is>
      </c>
    </row>
    <row r="80" ht="36" customHeight="1" s="19">
      <c r="A80" s="30" t="inlineStr">
        <is>
          <t>INT-014-S002</t>
        </is>
      </c>
      <c r="B80" s="30" t="inlineStr">
        <is>
          <t>INT-014</t>
        </is>
      </c>
      <c r="C80" s="47" t="n">
        <v>710</v>
      </c>
      <c r="D80" s="47" t="n">
        <v>2100</v>
      </c>
      <c r="E80" s="30" t="inlineStr">
        <is>
          <t>block</t>
        </is>
      </c>
      <c r="F80" s="30" t="inlineStr">
        <is>
          <t>null</t>
        </is>
      </c>
    </row>
    <row r="81" ht="36" customHeight="1" s="19">
      <c r="A81" s="30" t="inlineStr">
        <is>
          <t>INT-014-S003</t>
        </is>
      </c>
      <c r="B81" s="30" t="inlineStr">
        <is>
          <t>INT-014</t>
        </is>
      </c>
      <c r="C81" s="47" t="n">
        <v>810</v>
      </c>
      <c r="D81" s="47" t="n">
        <v>2100</v>
      </c>
      <c r="E81" s="30" t="inlineStr">
        <is>
          <t>block</t>
        </is>
      </c>
      <c r="F81" s="30" t="inlineStr">
        <is>
          <t>null</t>
        </is>
      </c>
    </row>
    <row r="82" ht="36" customHeight="1" s="19">
      <c r="A82" s="30" t="inlineStr">
        <is>
          <t>INT-014-S004</t>
        </is>
      </c>
      <c r="B82" s="30" t="inlineStr">
        <is>
          <t>INT-014</t>
        </is>
      </c>
      <c r="C82" s="47" t="n">
        <v>910</v>
      </c>
      <c r="D82" s="47" t="n">
        <v>2100</v>
      </c>
      <c r="E82" s="30" t="inlineStr">
        <is>
          <t>block</t>
        </is>
      </c>
      <c r="F82" s="30" t="inlineStr">
        <is>
          <t>null</t>
        </is>
      </c>
    </row>
    <row r="83" ht="36" customHeight="1" s="19">
      <c r="A83" s="30" t="inlineStr">
        <is>
          <t>INT-014-S005</t>
        </is>
      </c>
      <c r="B83" s="30" t="inlineStr">
        <is>
          <t>INT-014</t>
        </is>
      </c>
      <c r="C83" s="47" t="n">
        <v>1010</v>
      </c>
      <c r="D83" s="47" t="n">
        <v>2100</v>
      </c>
      <c r="E83" s="30" t="inlineStr">
        <is>
          <t>block</t>
        </is>
      </c>
      <c r="F83" s="30" t="inlineStr">
        <is>
          <t>null</t>
        </is>
      </c>
    </row>
    <row r="84" ht="36" customHeight="1" s="19">
      <c r="A84" s="45" t="inlineStr">
        <is>
          <t>INT-019-S001</t>
        </is>
      </c>
      <c r="B84" s="45" t="inlineStr">
        <is>
          <t>INT-019</t>
        </is>
      </c>
      <c r="C84" s="18" t="n">
        <v>600</v>
      </c>
      <c r="D84" s="18" t="n">
        <v>2000</v>
      </c>
      <c r="E84" s="18" t="inlineStr">
        <is>
          <t>leaf</t>
        </is>
      </c>
      <c r="F84" s="18" t="inlineStr">
        <is>
          <t>null</t>
        </is>
      </c>
    </row>
    <row r="85" ht="36" customHeight="1" s="19">
      <c r="A85" s="30" t="inlineStr">
        <is>
          <t>INT-019-S002</t>
        </is>
      </c>
      <c r="B85" s="30" t="inlineStr">
        <is>
          <t>INT-019</t>
        </is>
      </c>
      <c r="C85" s="47" t="n">
        <v>700</v>
      </c>
      <c r="D85" s="47" t="n">
        <v>2000</v>
      </c>
      <c r="E85" s="30" t="inlineStr">
        <is>
          <t>leaf</t>
        </is>
      </c>
      <c r="F85" s="30" t="inlineStr">
        <is>
          <t>null</t>
        </is>
      </c>
    </row>
    <row r="86" ht="36" customHeight="1" s="19">
      <c r="A86" s="45" t="inlineStr">
        <is>
          <t>INT-019-S003</t>
        </is>
      </c>
      <c r="B86" s="45" t="inlineStr">
        <is>
          <t>INT-019</t>
        </is>
      </c>
      <c r="C86" s="18" t="n">
        <v>800</v>
      </c>
      <c r="D86" s="18" t="n">
        <v>2000</v>
      </c>
      <c r="E86" s="18" t="inlineStr">
        <is>
          <t>leaf</t>
        </is>
      </c>
      <c r="F86" s="18" t="inlineStr">
        <is>
          <t>null</t>
        </is>
      </c>
    </row>
    <row r="87" ht="36" customHeight="1" s="19">
      <c r="A87" s="30" t="inlineStr">
        <is>
          <t>INT-019-S004</t>
        </is>
      </c>
      <c r="B87" s="30" t="inlineStr">
        <is>
          <t>INT-019</t>
        </is>
      </c>
      <c r="C87" s="47" t="n">
        <v>900</v>
      </c>
      <c r="D87" s="47" t="n">
        <v>2000</v>
      </c>
      <c r="E87" s="30" t="inlineStr">
        <is>
          <t>leaf</t>
        </is>
      </c>
      <c r="F87" s="30" t="inlineStr">
        <is>
          <t>null</t>
        </is>
      </c>
    </row>
    <row r="88" ht="36" customHeight="1" s="19">
      <c r="A88" s="45" t="inlineStr">
        <is>
          <t>INT-020-S001</t>
        </is>
      </c>
      <c r="B88" s="45" t="inlineStr">
        <is>
          <t>INT-020</t>
        </is>
      </c>
      <c r="C88" s="18" t="n">
        <v>600</v>
      </c>
      <c r="D88" s="18" t="n">
        <v>2000</v>
      </c>
      <c r="E88" s="18" t="inlineStr">
        <is>
          <t>leaf</t>
        </is>
      </c>
      <c r="F88" s="18" t="inlineStr">
        <is>
          <t>null</t>
        </is>
      </c>
    </row>
    <row r="89" ht="36" customHeight="1" s="19">
      <c r="A89" s="30" t="inlineStr">
        <is>
          <t>INT-020-S002</t>
        </is>
      </c>
      <c r="B89" s="30" t="inlineStr">
        <is>
          <t>INT-020</t>
        </is>
      </c>
      <c r="C89" s="47" t="n">
        <v>700</v>
      </c>
      <c r="D89" s="47" t="n">
        <v>2000</v>
      </c>
      <c r="E89" s="30" t="inlineStr">
        <is>
          <t>leaf</t>
        </is>
      </c>
      <c r="F89" s="30" t="inlineStr">
        <is>
          <t>null</t>
        </is>
      </c>
    </row>
    <row r="90" ht="36" customHeight="1" s="19">
      <c r="A90" s="45" t="inlineStr">
        <is>
          <t>INT-020-S003</t>
        </is>
      </c>
      <c r="B90" s="45" t="inlineStr">
        <is>
          <t>INT-020</t>
        </is>
      </c>
      <c r="C90" s="18" t="n">
        <v>800</v>
      </c>
      <c r="D90" s="18" t="n">
        <v>2000</v>
      </c>
      <c r="E90" s="18" t="inlineStr">
        <is>
          <t>leaf</t>
        </is>
      </c>
      <c r="F90" s="18" t="inlineStr">
        <is>
          <t>null</t>
        </is>
      </c>
    </row>
    <row r="91" ht="36" customHeight="1" s="19">
      <c r="A91" s="30" t="inlineStr">
        <is>
          <t>INT-020-S004</t>
        </is>
      </c>
      <c r="B91" s="30" t="inlineStr">
        <is>
          <t>INT-020</t>
        </is>
      </c>
      <c r="C91" s="47" t="n">
        <v>900</v>
      </c>
      <c r="D91" s="47" t="n">
        <v>2000</v>
      </c>
      <c r="E91" s="30" t="inlineStr">
        <is>
          <t>leaf</t>
        </is>
      </c>
      <c r="F91" s="30" t="inlineStr">
        <is>
          <t>null</t>
        </is>
      </c>
    </row>
    <row r="92" ht="36" customHeight="1" s="19">
      <c r="A92" s="45" t="inlineStr">
        <is>
          <t>INT-021-S001</t>
        </is>
      </c>
      <c r="B92" s="45" t="inlineStr">
        <is>
          <t>INT-021</t>
        </is>
      </c>
      <c r="C92" s="18" t="n">
        <v>600</v>
      </c>
      <c r="D92" s="18" t="n">
        <v>2000</v>
      </c>
      <c r="E92" s="18" t="inlineStr">
        <is>
          <t>leaf</t>
        </is>
      </c>
      <c r="F92" s="18" t="inlineStr">
        <is>
          <t>null</t>
        </is>
      </c>
    </row>
    <row r="93" ht="36" customHeight="1" s="19">
      <c r="A93" s="30" t="inlineStr">
        <is>
          <t>INT-021-S002</t>
        </is>
      </c>
      <c r="B93" s="30" t="inlineStr">
        <is>
          <t>INT-021</t>
        </is>
      </c>
      <c r="C93" s="47" t="n">
        <v>700</v>
      </c>
      <c r="D93" s="47" t="n">
        <v>2000</v>
      </c>
      <c r="E93" s="30" t="inlineStr">
        <is>
          <t>leaf</t>
        </is>
      </c>
      <c r="F93" s="30" t="inlineStr">
        <is>
          <t>null</t>
        </is>
      </c>
    </row>
    <row r="94" ht="36" customHeight="1" s="19">
      <c r="A94" s="45" t="inlineStr">
        <is>
          <t>INT-021-S003</t>
        </is>
      </c>
      <c r="B94" s="45" t="inlineStr">
        <is>
          <t>INT-021</t>
        </is>
      </c>
      <c r="C94" s="18" t="n">
        <v>800</v>
      </c>
      <c r="D94" s="18" t="n">
        <v>2000</v>
      </c>
      <c r="E94" s="18" t="inlineStr">
        <is>
          <t>leaf</t>
        </is>
      </c>
      <c r="F94" s="18" t="inlineStr">
        <is>
          <t>null</t>
        </is>
      </c>
    </row>
    <row r="95" ht="36" customHeight="1" s="19">
      <c r="A95" s="30" t="inlineStr">
        <is>
          <t>INT-021-S004</t>
        </is>
      </c>
      <c r="B95" s="30" t="inlineStr">
        <is>
          <t>INT-021</t>
        </is>
      </c>
      <c r="C95" s="47" t="n">
        <v>900</v>
      </c>
      <c r="D95" s="47" t="n">
        <v>2000</v>
      </c>
      <c r="E95" s="30" t="inlineStr">
        <is>
          <t>leaf</t>
        </is>
      </c>
      <c r="F95" s="30" t="inlineStr">
        <is>
          <t>null</t>
        </is>
      </c>
    </row>
    <row r="96" ht="36" customHeight="1" s="19">
      <c r="A96" s="45" t="inlineStr">
        <is>
          <t>INT-022-S001</t>
        </is>
      </c>
      <c r="B96" s="45" t="inlineStr">
        <is>
          <t>INT-022</t>
        </is>
      </c>
      <c r="C96" s="18" t="n">
        <v>600</v>
      </c>
      <c r="D96" s="18" t="n">
        <v>2000</v>
      </c>
      <c r="E96" s="18" t="inlineStr">
        <is>
          <t>leaf</t>
        </is>
      </c>
      <c r="F96" s="18" t="inlineStr">
        <is>
          <t>null</t>
        </is>
      </c>
    </row>
    <row r="97" ht="36" customHeight="1" s="19">
      <c r="A97" s="30" t="inlineStr">
        <is>
          <t>INT-022-S002</t>
        </is>
      </c>
      <c r="B97" s="30" t="inlineStr">
        <is>
          <t>INT-022</t>
        </is>
      </c>
      <c r="C97" s="47" t="n">
        <v>700</v>
      </c>
      <c r="D97" s="47" t="n">
        <v>2000</v>
      </c>
      <c r="E97" s="30" t="inlineStr">
        <is>
          <t>leaf</t>
        </is>
      </c>
      <c r="F97" s="30" t="inlineStr">
        <is>
          <t>null</t>
        </is>
      </c>
    </row>
    <row r="98" ht="36" customHeight="1" s="19">
      <c r="A98" s="45" t="inlineStr">
        <is>
          <t>INT-022-S003</t>
        </is>
      </c>
      <c r="B98" s="45" t="inlineStr">
        <is>
          <t>INT-022</t>
        </is>
      </c>
      <c r="C98" s="18" t="n">
        <v>800</v>
      </c>
      <c r="D98" s="18" t="n">
        <v>2000</v>
      </c>
      <c r="E98" s="18" t="inlineStr">
        <is>
          <t>leaf</t>
        </is>
      </c>
      <c r="F98" s="18" t="inlineStr">
        <is>
          <t>null</t>
        </is>
      </c>
    </row>
    <row r="99" ht="36" customHeight="1" s="19">
      <c r="A99" s="30" t="inlineStr">
        <is>
          <t>INT-022-S004</t>
        </is>
      </c>
      <c r="B99" s="30" t="inlineStr">
        <is>
          <t>INT-022</t>
        </is>
      </c>
      <c r="C99" s="47" t="n">
        <v>900</v>
      </c>
      <c r="D99" s="47" t="n">
        <v>2000</v>
      </c>
      <c r="E99" s="30" t="inlineStr">
        <is>
          <t>leaf</t>
        </is>
      </c>
      <c r="F99" s="30" t="inlineStr">
        <is>
          <t>null</t>
        </is>
      </c>
    </row>
    <row r="100" ht="36" customHeight="1" s="19">
      <c r="A100" s="45" t="inlineStr">
        <is>
          <t>INT-023-S001</t>
        </is>
      </c>
      <c r="B100" s="45" t="inlineStr">
        <is>
          <t>INT-023</t>
        </is>
      </c>
      <c r="C100" s="18" t="n">
        <v>600</v>
      </c>
      <c r="D100" s="18" t="n">
        <v>2000</v>
      </c>
      <c r="E100" s="18" t="inlineStr">
        <is>
          <t>leaf</t>
        </is>
      </c>
      <c r="F100" s="18" t="inlineStr">
        <is>
          <t>null</t>
        </is>
      </c>
    </row>
    <row r="101" ht="36" customHeight="1" s="19">
      <c r="A101" s="30" t="inlineStr">
        <is>
          <t>INT-023-S002</t>
        </is>
      </c>
      <c r="B101" s="30" t="inlineStr">
        <is>
          <t>INT-023</t>
        </is>
      </c>
      <c r="C101" s="47" t="n">
        <v>700</v>
      </c>
      <c r="D101" s="47" t="n">
        <v>2000</v>
      </c>
      <c r="E101" s="30" t="inlineStr">
        <is>
          <t>leaf</t>
        </is>
      </c>
      <c r="F101" s="30" t="inlineStr">
        <is>
          <t>null</t>
        </is>
      </c>
    </row>
    <row r="102" ht="36" customHeight="1" s="19">
      <c r="A102" s="45" t="inlineStr">
        <is>
          <t>INT-023-S003</t>
        </is>
      </c>
      <c r="B102" s="45" t="inlineStr">
        <is>
          <t>INT-023</t>
        </is>
      </c>
      <c r="C102" s="18" t="n">
        <v>800</v>
      </c>
      <c r="D102" s="18" t="n">
        <v>2000</v>
      </c>
      <c r="E102" s="18" t="inlineStr">
        <is>
          <t>leaf</t>
        </is>
      </c>
      <c r="F102" s="18" t="inlineStr">
        <is>
          <t>null</t>
        </is>
      </c>
    </row>
    <row r="103" ht="36" customHeight="1" s="19">
      <c r="A103" s="30" t="inlineStr">
        <is>
          <t>INT-023-S004</t>
        </is>
      </c>
      <c r="B103" s="30" t="inlineStr">
        <is>
          <t>INT-023</t>
        </is>
      </c>
      <c r="C103" s="47" t="n">
        <v>900</v>
      </c>
      <c r="D103" s="47" t="n">
        <v>2000</v>
      </c>
      <c r="E103" s="30" t="inlineStr">
        <is>
          <t>leaf</t>
        </is>
      </c>
      <c r="F103" s="30" t="inlineStr">
        <is>
          <t>null</t>
        </is>
      </c>
    </row>
    <row r="104" ht="36" customHeight="1" s="19">
      <c r="A104" s="45" t="inlineStr">
        <is>
          <t>INT-024-S001</t>
        </is>
      </c>
      <c r="B104" s="45" t="inlineStr">
        <is>
          <t>INT-024</t>
        </is>
      </c>
      <c r="C104" s="18" t="n">
        <v>1000</v>
      </c>
      <c r="D104" s="18" t="n">
        <v>2000</v>
      </c>
      <c r="E104" s="18" t="inlineStr">
        <is>
          <t>leaf_pair</t>
        </is>
      </c>
      <c r="F104" s="18" t="inlineStr">
        <is>
          <t>[400,600]</t>
        </is>
      </c>
    </row>
    <row r="105" ht="36" customHeight="1" s="19">
      <c r="A105" s="30" t="inlineStr">
        <is>
          <t>INT-024-S002</t>
        </is>
      </c>
      <c r="B105" s="30" t="inlineStr">
        <is>
          <t>INT-024</t>
        </is>
      </c>
      <c r="C105" s="47" t="n">
        <v>1200</v>
      </c>
      <c r="D105" s="47" t="n">
        <v>2000</v>
      </c>
      <c r="E105" s="30" t="inlineStr">
        <is>
          <t>leaf_pair</t>
        </is>
      </c>
      <c r="F105" s="30" t="inlineStr">
        <is>
          <t>[600,600]</t>
        </is>
      </c>
    </row>
    <row r="106" ht="36" customHeight="1" s="19">
      <c r="A106" s="45" t="inlineStr">
        <is>
          <t>INT-024-S003</t>
        </is>
      </c>
      <c r="B106" s="45" t="inlineStr">
        <is>
          <t>INT-024</t>
        </is>
      </c>
      <c r="C106" s="18" t="n">
        <v>1400</v>
      </c>
      <c r="D106" s="18" t="n">
        <v>2000</v>
      </c>
      <c r="E106" s="18" t="inlineStr">
        <is>
          <t>leaf_pair</t>
        </is>
      </c>
      <c r="F106" s="18" t="inlineStr">
        <is>
          <t>[700,700]</t>
        </is>
      </c>
    </row>
    <row r="107" ht="36" customHeight="1" s="19">
      <c r="A107" s="30" t="inlineStr">
        <is>
          <t>INT-024-S004</t>
        </is>
      </c>
      <c r="B107" s="30" t="inlineStr">
        <is>
          <t>INT-024</t>
        </is>
      </c>
      <c r="C107" s="47" t="n">
        <v>1600</v>
      </c>
      <c r="D107" s="47" t="n">
        <v>2000</v>
      </c>
      <c r="E107" s="30" t="inlineStr">
        <is>
          <t>leaf_pair</t>
        </is>
      </c>
      <c r="F107" s="30" t="inlineStr">
        <is>
          <t>[800,800]</t>
        </is>
      </c>
    </row>
    <row r="108" ht="36" customHeight="1" s="19">
      <c r="A108" s="45" t="inlineStr">
        <is>
          <t>INT-025-S001</t>
        </is>
      </c>
      <c r="B108" s="45" t="inlineStr">
        <is>
          <t>INT-025</t>
        </is>
      </c>
      <c r="C108" s="18" t="n">
        <v>600</v>
      </c>
      <c r="D108" s="18" t="n">
        <v>2000</v>
      </c>
      <c r="E108" s="18" t="inlineStr">
        <is>
          <t>leaf</t>
        </is>
      </c>
      <c r="F108" s="18" t="inlineStr">
        <is>
          <t>null</t>
        </is>
      </c>
    </row>
    <row r="109" ht="36" customHeight="1" s="19">
      <c r="A109" s="30" t="inlineStr">
        <is>
          <t>INT-025-S002</t>
        </is>
      </c>
      <c r="B109" s="30" t="inlineStr">
        <is>
          <t>INT-025</t>
        </is>
      </c>
      <c r="C109" s="47" t="n">
        <v>700</v>
      </c>
      <c r="D109" s="47" t="n">
        <v>2000</v>
      </c>
      <c r="E109" s="30" t="inlineStr">
        <is>
          <t>leaf</t>
        </is>
      </c>
      <c r="F109" s="30" t="inlineStr">
        <is>
          <t>null</t>
        </is>
      </c>
    </row>
    <row r="110" ht="36" customHeight="1" s="19">
      <c r="A110" s="45" t="inlineStr">
        <is>
          <t>INT-025-S003</t>
        </is>
      </c>
      <c r="B110" s="45" t="inlineStr">
        <is>
          <t>INT-025</t>
        </is>
      </c>
      <c r="C110" s="18" t="n">
        <v>800</v>
      </c>
      <c r="D110" s="18" t="n">
        <v>2000</v>
      </c>
      <c r="E110" s="18" t="inlineStr">
        <is>
          <t>leaf</t>
        </is>
      </c>
      <c r="F110" s="18" t="inlineStr">
        <is>
          <t>null</t>
        </is>
      </c>
    </row>
    <row r="111" ht="36" customHeight="1" s="19">
      <c r="A111" s="30" t="inlineStr">
        <is>
          <t>INT-025-S004</t>
        </is>
      </c>
      <c r="B111" s="30" t="inlineStr">
        <is>
          <t>INT-025</t>
        </is>
      </c>
      <c r="C111" s="47" t="n">
        <v>900</v>
      </c>
      <c r="D111" s="47" t="n">
        <v>2000</v>
      </c>
      <c r="E111" s="30" t="inlineStr">
        <is>
          <t>leaf</t>
        </is>
      </c>
      <c r="F111" s="30" t="inlineStr">
        <is>
          <t>null</t>
        </is>
      </c>
    </row>
    <row r="112" ht="36" customHeight="1" s="19">
      <c r="A112" s="45" t="inlineStr">
        <is>
          <t>INT-026-S001</t>
        </is>
      </c>
      <c r="B112" s="45" t="inlineStr">
        <is>
          <t>INT-026</t>
        </is>
      </c>
      <c r="C112" s="18" t="n">
        <v>600</v>
      </c>
      <c r="D112" s="18" t="n">
        <v>2000</v>
      </c>
      <c r="E112" s="18" t="inlineStr">
        <is>
          <t>leaf</t>
        </is>
      </c>
      <c r="F112" s="18" t="inlineStr">
        <is>
          <t>null</t>
        </is>
      </c>
    </row>
    <row r="113" ht="36" customHeight="1" s="19">
      <c r="A113" s="30" t="inlineStr">
        <is>
          <t>INT-026-S002</t>
        </is>
      </c>
      <c r="B113" s="30" t="inlineStr">
        <is>
          <t>INT-026</t>
        </is>
      </c>
      <c r="C113" s="47" t="n">
        <v>700</v>
      </c>
      <c r="D113" s="47" t="n">
        <v>2000</v>
      </c>
      <c r="E113" s="30" t="inlineStr">
        <is>
          <t>leaf</t>
        </is>
      </c>
      <c r="F113" s="30" t="inlineStr">
        <is>
          <t>null</t>
        </is>
      </c>
    </row>
    <row r="114" ht="36" customHeight="1" s="19">
      <c r="A114" s="45" t="inlineStr">
        <is>
          <t>INT-026-S003</t>
        </is>
      </c>
      <c r="B114" s="45" t="inlineStr">
        <is>
          <t>INT-026</t>
        </is>
      </c>
      <c r="C114" s="18" t="n">
        <v>800</v>
      </c>
      <c r="D114" s="18" t="n">
        <v>2000</v>
      </c>
      <c r="E114" s="18" t="inlineStr">
        <is>
          <t>leaf</t>
        </is>
      </c>
      <c r="F114" s="18" t="inlineStr">
        <is>
          <t>null</t>
        </is>
      </c>
    </row>
    <row r="115" ht="36" customHeight="1" s="19">
      <c r="A115" s="30" t="inlineStr">
        <is>
          <t>INT-026-S004</t>
        </is>
      </c>
      <c r="B115" s="30" t="inlineStr">
        <is>
          <t>INT-026</t>
        </is>
      </c>
      <c r="C115" s="47" t="n">
        <v>900</v>
      </c>
      <c r="D115" s="47" t="n">
        <v>2000</v>
      </c>
      <c r="E115" s="30" t="inlineStr">
        <is>
          <t>leaf</t>
        </is>
      </c>
      <c r="F115" s="30" t="inlineStr">
        <is>
          <t>null</t>
        </is>
      </c>
    </row>
    <row r="116" ht="36" customHeight="1" s="19">
      <c r="A116" s="45" t="inlineStr">
        <is>
          <t>INT-027-S001</t>
        </is>
      </c>
      <c r="B116" s="45" t="inlineStr">
        <is>
          <t>INT-027</t>
        </is>
      </c>
      <c r="C116" s="18" t="n">
        <v>600</v>
      </c>
      <c r="D116" s="18" t="n">
        <v>2000</v>
      </c>
      <c r="E116" s="18" t="inlineStr">
        <is>
          <t>leaf</t>
        </is>
      </c>
      <c r="F116" s="18" t="inlineStr">
        <is>
          <t>null</t>
        </is>
      </c>
    </row>
    <row r="117" ht="36" customHeight="1" s="19">
      <c r="A117" s="30" t="inlineStr">
        <is>
          <t>INT-027-S002</t>
        </is>
      </c>
      <c r="B117" s="30" t="inlineStr">
        <is>
          <t>INT-027</t>
        </is>
      </c>
      <c r="C117" s="47" t="n">
        <v>700</v>
      </c>
      <c r="D117" s="47" t="n">
        <v>2000</v>
      </c>
      <c r="E117" s="30" t="inlineStr">
        <is>
          <t>leaf</t>
        </is>
      </c>
      <c r="F117" s="30" t="inlineStr">
        <is>
          <t>null</t>
        </is>
      </c>
    </row>
    <row r="118" ht="36" customHeight="1" s="19">
      <c r="A118" s="45" t="inlineStr">
        <is>
          <t>INT-027-S003</t>
        </is>
      </c>
      <c r="B118" s="45" t="inlineStr">
        <is>
          <t>INT-027</t>
        </is>
      </c>
      <c r="C118" s="18" t="n">
        <v>800</v>
      </c>
      <c r="D118" s="18" t="n">
        <v>2000</v>
      </c>
      <c r="E118" s="18" t="inlineStr">
        <is>
          <t>leaf</t>
        </is>
      </c>
      <c r="F118" s="18" t="inlineStr">
        <is>
          <t>null</t>
        </is>
      </c>
    </row>
    <row r="119" ht="36" customHeight="1" s="19">
      <c r="A119" s="30" t="inlineStr">
        <is>
          <t>INT-027-S004</t>
        </is>
      </c>
      <c r="B119" s="30" t="inlineStr">
        <is>
          <t>INT-027</t>
        </is>
      </c>
      <c r="C119" s="47" t="n">
        <v>900</v>
      </c>
      <c r="D119" s="47" t="n">
        <v>2000</v>
      </c>
      <c r="E119" s="30" t="inlineStr">
        <is>
          <t>leaf</t>
        </is>
      </c>
      <c r="F119" s="30" t="inlineStr">
        <is>
          <t>null</t>
        </is>
      </c>
    </row>
    <row r="120" ht="36" customHeight="1" s="19">
      <c r="A120" s="45" t="inlineStr">
        <is>
          <t>INT-028-S001</t>
        </is>
      </c>
      <c r="B120" s="45" t="inlineStr">
        <is>
          <t>INT-028</t>
        </is>
      </c>
      <c r="C120" s="18" t="n">
        <v>600</v>
      </c>
      <c r="D120" s="18" t="n">
        <v>2000</v>
      </c>
      <c r="E120" s="18" t="inlineStr">
        <is>
          <t>leaf</t>
        </is>
      </c>
      <c r="F120" s="18" t="inlineStr">
        <is>
          <t>null</t>
        </is>
      </c>
    </row>
    <row r="121" ht="36" customHeight="1" s="19">
      <c r="A121" s="30" t="inlineStr">
        <is>
          <t>INT-028-S002</t>
        </is>
      </c>
      <c r="B121" s="30" t="inlineStr">
        <is>
          <t>INT-028</t>
        </is>
      </c>
      <c r="C121" s="47" t="n">
        <v>700</v>
      </c>
      <c r="D121" s="47" t="n">
        <v>2000</v>
      </c>
      <c r="E121" s="30" t="inlineStr">
        <is>
          <t>leaf</t>
        </is>
      </c>
      <c r="F121" s="30" t="inlineStr">
        <is>
          <t>null</t>
        </is>
      </c>
    </row>
    <row r="122" ht="36" customHeight="1" s="19">
      <c r="A122" s="45" t="inlineStr">
        <is>
          <t>INT-028-S003</t>
        </is>
      </c>
      <c r="B122" s="45" t="inlineStr">
        <is>
          <t>INT-028</t>
        </is>
      </c>
      <c r="C122" s="18" t="n">
        <v>800</v>
      </c>
      <c r="D122" s="18" t="n">
        <v>2000</v>
      </c>
      <c r="E122" s="18" t="inlineStr">
        <is>
          <t>leaf</t>
        </is>
      </c>
      <c r="F122" s="18" t="inlineStr">
        <is>
          <t>null</t>
        </is>
      </c>
    </row>
    <row r="123" ht="36" customHeight="1" s="19">
      <c r="A123" s="30" t="inlineStr">
        <is>
          <t>INT-028-S004</t>
        </is>
      </c>
      <c r="B123" s="30" t="inlineStr">
        <is>
          <t>INT-028</t>
        </is>
      </c>
      <c r="C123" s="47" t="n">
        <v>900</v>
      </c>
      <c r="D123" s="47" t="n">
        <v>2000</v>
      </c>
      <c r="E123" s="30" t="inlineStr">
        <is>
          <t>leaf</t>
        </is>
      </c>
      <c r="F123" s="30" t="inlineStr">
        <is>
          <t>null</t>
        </is>
      </c>
    </row>
    <row r="124" ht="36" customHeight="1" s="19">
      <c r="A124" s="45" t="inlineStr">
        <is>
          <t>INT-029-S001</t>
        </is>
      </c>
      <c r="B124" s="45" t="inlineStr">
        <is>
          <t>INT-029</t>
        </is>
      </c>
      <c r="C124" s="18" t="n">
        <v>600</v>
      </c>
      <c r="D124" s="18" t="n">
        <v>2000</v>
      </c>
      <c r="E124" s="18" t="inlineStr">
        <is>
          <t>leaf</t>
        </is>
      </c>
      <c r="F124" s="18" t="inlineStr">
        <is>
          <t>null</t>
        </is>
      </c>
    </row>
    <row r="125" ht="36" customHeight="1" s="19">
      <c r="A125" s="30" t="inlineStr">
        <is>
          <t>INT-029-S002</t>
        </is>
      </c>
      <c r="B125" s="30" t="inlineStr">
        <is>
          <t>INT-029</t>
        </is>
      </c>
      <c r="C125" s="47" t="n">
        <v>700</v>
      </c>
      <c r="D125" s="47" t="n">
        <v>2000</v>
      </c>
      <c r="E125" s="30" t="inlineStr">
        <is>
          <t>leaf</t>
        </is>
      </c>
      <c r="F125" s="30" t="inlineStr">
        <is>
          <t>null</t>
        </is>
      </c>
    </row>
    <row r="126" ht="36" customHeight="1" s="19">
      <c r="A126" s="45" t="inlineStr">
        <is>
          <t>INT-029-S003</t>
        </is>
      </c>
      <c r="B126" s="45" t="inlineStr">
        <is>
          <t>INT-029</t>
        </is>
      </c>
      <c r="C126" s="18" t="n">
        <v>800</v>
      </c>
      <c r="D126" s="18" t="n">
        <v>2000</v>
      </c>
      <c r="E126" s="18" t="inlineStr">
        <is>
          <t>leaf</t>
        </is>
      </c>
      <c r="F126" s="18" t="inlineStr">
        <is>
          <t>null</t>
        </is>
      </c>
    </row>
    <row r="127" ht="36" customHeight="1" s="19">
      <c r="A127" s="30" t="inlineStr">
        <is>
          <t>INT-029-S004</t>
        </is>
      </c>
      <c r="B127" s="30" t="inlineStr">
        <is>
          <t>INT-029</t>
        </is>
      </c>
      <c r="C127" s="47" t="n">
        <v>900</v>
      </c>
      <c r="D127" s="47" t="n">
        <v>2000</v>
      </c>
      <c r="E127" s="30" t="inlineStr">
        <is>
          <t>leaf</t>
        </is>
      </c>
      <c r="F127" s="30" t="inlineStr">
        <is>
          <t>null</t>
        </is>
      </c>
    </row>
    <row r="128" ht="36" customHeight="1" s="19">
      <c r="A128" s="45" t="inlineStr">
        <is>
          <t>INT-030-S001</t>
        </is>
      </c>
      <c r="B128" s="45" t="inlineStr">
        <is>
          <t>INT-030</t>
        </is>
      </c>
      <c r="C128" s="18" t="n">
        <v>600</v>
      </c>
      <c r="D128" s="18" t="n">
        <v>2000</v>
      </c>
      <c r="E128" s="18" t="inlineStr">
        <is>
          <t>leaf</t>
        </is>
      </c>
      <c r="F128" s="18" t="inlineStr">
        <is>
          <t>null</t>
        </is>
      </c>
    </row>
    <row r="129" ht="36" customHeight="1" s="19">
      <c r="A129" s="30" t="inlineStr">
        <is>
          <t>INT-030-S002</t>
        </is>
      </c>
      <c r="B129" s="30" t="inlineStr">
        <is>
          <t>INT-030</t>
        </is>
      </c>
      <c r="C129" s="47" t="n">
        <v>700</v>
      </c>
      <c r="D129" s="47" t="n">
        <v>2000</v>
      </c>
      <c r="E129" s="30" t="inlineStr">
        <is>
          <t>leaf</t>
        </is>
      </c>
      <c r="F129" s="30" t="inlineStr">
        <is>
          <t>null</t>
        </is>
      </c>
    </row>
    <row r="130" ht="36" customHeight="1" s="19">
      <c r="A130" s="45" t="inlineStr">
        <is>
          <t>INT-030-S003</t>
        </is>
      </c>
      <c r="B130" s="45" t="inlineStr">
        <is>
          <t>INT-030</t>
        </is>
      </c>
      <c r="C130" s="18" t="n">
        <v>800</v>
      </c>
      <c r="D130" s="18" t="n">
        <v>2000</v>
      </c>
      <c r="E130" s="18" t="inlineStr">
        <is>
          <t>leaf</t>
        </is>
      </c>
      <c r="F130" s="18" t="inlineStr">
        <is>
          <t>null</t>
        </is>
      </c>
    </row>
    <row r="131" ht="36" customHeight="1" s="19">
      <c r="A131" s="30" t="inlineStr">
        <is>
          <t>INT-030-S004</t>
        </is>
      </c>
      <c r="B131" s="30" t="inlineStr">
        <is>
          <t>INT-030</t>
        </is>
      </c>
      <c r="C131" s="47" t="n">
        <v>900</v>
      </c>
      <c r="D131" s="47" t="n">
        <v>2000</v>
      </c>
      <c r="E131" s="30" t="inlineStr">
        <is>
          <t>leaf</t>
        </is>
      </c>
      <c r="F131" s="30" t="inlineStr">
        <is>
          <t>null</t>
        </is>
      </c>
    </row>
    <row r="132" ht="36" customHeight="1" s="19">
      <c r="A132" s="45" t="inlineStr">
        <is>
          <t>INT-015-S001</t>
        </is>
      </c>
      <c r="B132" s="45" t="inlineStr">
        <is>
          <t>INT-015</t>
        </is>
      </c>
      <c r="C132" s="18" t="n">
        <v>600</v>
      </c>
      <c r="D132" s="18" t="n">
        <v>2000</v>
      </c>
      <c r="E132" s="18" t="inlineStr">
        <is>
          <t>leaf</t>
        </is>
      </c>
      <c r="F132" s="18" t="inlineStr">
        <is>
          <t>null</t>
        </is>
      </c>
    </row>
    <row r="133" ht="36" customHeight="1" s="19">
      <c r="A133" s="45" t="inlineStr">
        <is>
          <t>INT-015-S002</t>
        </is>
      </c>
      <c r="B133" s="45" t="inlineStr">
        <is>
          <t>INT-015</t>
        </is>
      </c>
      <c r="C133" s="18" t="n">
        <v>700</v>
      </c>
      <c r="D133" s="18" t="n">
        <v>2000</v>
      </c>
      <c r="E133" s="18" t="inlineStr">
        <is>
          <t>leaf</t>
        </is>
      </c>
      <c r="F133" s="18" t="inlineStr">
        <is>
          <t>null</t>
        </is>
      </c>
    </row>
    <row r="134" ht="36" customHeight="1" s="19">
      <c r="A134" s="45" t="inlineStr">
        <is>
          <t>INT-015-S003</t>
        </is>
      </c>
      <c r="B134" s="45" t="inlineStr">
        <is>
          <t>INT-015</t>
        </is>
      </c>
      <c r="C134" s="18" t="n">
        <v>800</v>
      </c>
      <c r="D134" s="18" t="n">
        <v>2000</v>
      </c>
      <c r="E134" s="18" t="inlineStr">
        <is>
          <t>leaf</t>
        </is>
      </c>
      <c r="F134" s="18" t="inlineStr">
        <is>
          <t>null</t>
        </is>
      </c>
    </row>
    <row r="135" ht="36" customHeight="1" s="19">
      <c r="A135" s="45" t="inlineStr">
        <is>
          <t>INT-015-S004</t>
        </is>
      </c>
      <c r="B135" s="45" t="inlineStr">
        <is>
          <t>INT-015</t>
        </is>
      </c>
      <c r="C135" s="18" t="n">
        <v>900</v>
      </c>
      <c r="D135" s="18" t="n">
        <v>2000</v>
      </c>
      <c r="E135" s="18" t="inlineStr">
        <is>
          <t>leaf</t>
        </is>
      </c>
      <c r="F135" s="18" t="inlineStr">
        <is>
          <t>null</t>
        </is>
      </c>
    </row>
    <row r="136" ht="36" customHeight="1" s="19">
      <c r="A136" s="45" t="inlineStr">
        <is>
          <t>INT-016-S001</t>
        </is>
      </c>
      <c r="B136" s="45" t="inlineStr">
        <is>
          <t>INT-016</t>
        </is>
      </c>
      <c r="C136" s="18" t="n">
        <v>550</v>
      </c>
      <c r="D136" s="18" t="n">
        <v>1900</v>
      </c>
      <c r="E136" s="18" t="inlineStr">
        <is>
          <t>leaf</t>
        </is>
      </c>
      <c r="F136" s="18" t="inlineStr">
        <is>
          <t>null</t>
        </is>
      </c>
    </row>
    <row r="137" ht="36" customHeight="1" s="19">
      <c r="A137" s="45" t="inlineStr">
        <is>
          <t>INT-016-S002</t>
        </is>
      </c>
      <c r="B137" s="45" t="inlineStr">
        <is>
          <t>INT-016</t>
        </is>
      </c>
      <c r="C137" s="18" t="n">
        <v>600</v>
      </c>
      <c r="D137" s="18" t="n">
        <v>1900</v>
      </c>
      <c r="E137" s="18" t="inlineStr">
        <is>
          <t>leaf</t>
        </is>
      </c>
      <c r="F137" s="18" t="inlineStr">
        <is>
          <t>null</t>
        </is>
      </c>
    </row>
    <row r="138" ht="36" customHeight="1" s="19">
      <c r="A138" s="45" t="inlineStr">
        <is>
          <t>INT-016-S003</t>
        </is>
      </c>
      <c r="B138" s="45" t="inlineStr">
        <is>
          <t>INT-016</t>
        </is>
      </c>
      <c r="C138" s="18" t="n">
        <v>600</v>
      </c>
      <c r="D138" s="18" t="n">
        <v>2000</v>
      </c>
      <c r="E138" s="18" t="inlineStr">
        <is>
          <t>leaf</t>
        </is>
      </c>
      <c r="F138" s="18" t="inlineStr">
        <is>
          <t>null</t>
        </is>
      </c>
    </row>
    <row r="139" ht="38" customHeight="1" s="19">
      <c r="A139" s="45" t="inlineStr">
        <is>
          <t>INT-016-S004</t>
        </is>
      </c>
      <c r="B139" s="45" t="inlineStr">
        <is>
          <t>INT-016</t>
        </is>
      </c>
      <c r="C139" s="18" t="n">
        <v>700</v>
      </c>
      <c r="D139" s="18" t="n">
        <v>2000</v>
      </c>
      <c r="E139" s="18" t="inlineStr">
        <is>
          <t>leaf</t>
        </is>
      </c>
      <c r="F139" s="18" t="inlineStr">
        <is>
          <t>null</t>
        </is>
      </c>
    </row>
    <row r="140" ht="38" customHeight="1" s="19">
      <c r="A140" s="45" t="inlineStr">
        <is>
          <t>INT-016-S005</t>
        </is>
      </c>
      <c r="B140" s="45" t="inlineStr">
        <is>
          <t>INT-016</t>
        </is>
      </c>
      <c r="C140" s="18" t="n">
        <v>800</v>
      </c>
      <c r="D140" s="18" t="n">
        <v>2000</v>
      </c>
      <c r="E140" s="18" t="inlineStr">
        <is>
          <t>leaf</t>
        </is>
      </c>
      <c r="F140" s="18" t="inlineStr">
        <is>
          <t>null</t>
        </is>
      </c>
    </row>
    <row r="141" ht="38" customHeight="1" s="19">
      <c r="A141" s="45" t="inlineStr">
        <is>
          <t>INT-016-S006</t>
        </is>
      </c>
      <c r="B141" s="45" t="inlineStr">
        <is>
          <t>INT-016</t>
        </is>
      </c>
      <c r="C141" s="18" t="n">
        <v>850</v>
      </c>
      <c r="D141" s="18" t="n">
        <v>2000</v>
      </c>
      <c r="E141" s="18" t="inlineStr">
        <is>
          <t>leaf</t>
        </is>
      </c>
      <c r="F141" s="18" t="inlineStr">
        <is>
          <t>null</t>
        </is>
      </c>
    </row>
    <row r="142">
      <c r="A142" s="45" t="inlineStr">
        <is>
          <t>INT-016-S007</t>
        </is>
      </c>
      <c r="B142" s="45" t="inlineStr">
        <is>
          <t>INT-016</t>
        </is>
      </c>
      <c r="C142" s="18" t="n">
        <v>900</v>
      </c>
      <c r="D142" s="18" t="n">
        <v>2000</v>
      </c>
      <c r="E142" s="18" t="inlineStr">
        <is>
          <t>leaf</t>
        </is>
      </c>
      <c r="F142" s="18" t="inlineStr">
        <is>
          <t>null</t>
        </is>
      </c>
    </row>
    <row r="143">
      <c r="A143" s="45" t="inlineStr">
        <is>
          <t>INT-017-S001</t>
        </is>
      </c>
      <c r="B143" s="45" t="inlineStr">
        <is>
          <t>INT-017</t>
        </is>
      </c>
      <c r="C143" s="18" t="n">
        <v>700</v>
      </c>
      <c r="D143" s="18" t="n">
        <v>2100</v>
      </c>
      <c r="E143" s="18" t="inlineStr">
        <is>
          <t>opening</t>
        </is>
      </c>
      <c r="F143" s="18" t="inlineStr">
        <is>
          <t>null</t>
        </is>
      </c>
    </row>
    <row r="144">
      <c r="A144" s="45" t="inlineStr">
        <is>
          <t>INT-017-S002</t>
        </is>
      </c>
      <c r="B144" s="45" t="inlineStr">
        <is>
          <t>INT-017</t>
        </is>
      </c>
      <c r="C144" s="18" t="n">
        <v>800</v>
      </c>
      <c r="D144" s="18" t="n">
        <v>2100</v>
      </c>
      <c r="E144" s="18" t="inlineStr">
        <is>
          <t>opening</t>
        </is>
      </c>
      <c r="F144" s="18" t="inlineStr">
        <is>
          <t>null</t>
        </is>
      </c>
    </row>
    <row r="145">
      <c r="A145" s="45" t="inlineStr">
        <is>
          <t>INT-017-S003</t>
        </is>
      </c>
      <c r="B145" s="45" t="inlineStr">
        <is>
          <t>INT-017</t>
        </is>
      </c>
      <c r="C145" s="18" t="n">
        <v>900</v>
      </c>
      <c r="D145" s="18" t="n">
        <v>2100</v>
      </c>
      <c r="E145" s="18" t="inlineStr">
        <is>
          <t>opening</t>
        </is>
      </c>
      <c r="F145" s="18" t="inlineStr">
        <is>
          <t>null</t>
        </is>
      </c>
    </row>
    <row r="146">
      <c r="A146" s="30" t="inlineStr">
        <is>
          <t>INT-018-S001</t>
        </is>
      </c>
      <c r="B146" s="30" t="inlineStr">
        <is>
          <t>INT-018</t>
        </is>
      </c>
      <c r="C146" s="47" t="n">
        <v>600</v>
      </c>
      <c r="D146" s="47" t="n">
        <v>2000</v>
      </c>
      <c r="E146" s="30" t="inlineStr">
        <is>
          <t>leaf</t>
        </is>
      </c>
      <c r="F146" s="30" t="inlineStr">
        <is>
          <t>null</t>
        </is>
      </c>
    </row>
    <row r="147">
      <c r="A147" s="30" t="inlineStr">
        <is>
          <t>INT-018-S002</t>
        </is>
      </c>
      <c r="B147" s="30" t="inlineStr">
        <is>
          <t>INT-018</t>
        </is>
      </c>
      <c r="C147" s="47" t="n">
        <v>700</v>
      </c>
      <c r="D147" s="47" t="n">
        <v>2000</v>
      </c>
      <c r="E147" s="30" t="inlineStr">
        <is>
          <t>leaf</t>
        </is>
      </c>
      <c r="F147" s="30" t="inlineStr">
        <is>
          <t>null</t>
        </is>
      </c>
    </row>
    <row r="148">
      <c r="A148" s="30" t="inlineStr">
        <is>
          <t>INT-018-S003</t>
        </is>
      </c>
      <c r="B148" s="30" t="inlineStr">
        <is>
          <t>INT-018</t>
        </is>
      </c>
      <c r="C148" s="47" t="n">
        <v>800</v>
      </c>
      <c r="D148" s="47" t="n">
        <v>2000</v>
      </c>
      <c r="E148" s="30" t="inlineStr">
        <is>
          <t>leaf</t>
        </is>
      </c>
      <c r="F148" s="30" t="inlineStr">
        <is>
          <t>null</t>
        </is>
      </c>
    </row>
    <row r="149">
      <c r="A149" s="30" t="inlineStr">
        <is>
          <t>INT-018-S004</t>
        </is>
      </c>
      <c r="B149" s="30" t="inlineStr">
        <is>
          <t>INT-018</t>
        </is>
      </c>
      <c r="C149" s="47" t="n">
        <v>900</v>
      </c>
      <c r="D149" s="47" t="n">
        <v>2000</v>
      </c>
      <c r="E149" s="30" t="inlineStr">
        <is>
          <t>leaf</t>
        </is>
      </c>
      <c r="F149" s="30" t="inlineStr">
        <is>
          <t>null</t>
        </is>
      </c>
    </row>
    <row r="150">
      <c r="A150" s="30" t="inlineStr">
        <is>
          <t>INT-008-S001</t>
        </is>
      </c>
      <c r="B150" s="30" t="inlineStr">
        <is>
          <t>INT-008</t>
        </is>
      </c>
      <c r="C150" s="47" t="n">
        <v>700</v>
      </c>
      <c r="D150" s="47" t="n">
        <v>2100</v>
      </c>
      <c r="E150" s="30" t="inlineStr">
        <is>
          <t>opening</t>
        </is>
      </c>
      <c r="F150" s="30" t="inlineStr">
        <is>
          <t>null</t>
        </is>
      </c>
    </row>
    <row r="151">
      <c r="A151" s="30" t="inlineStr">
        <is>
          <t>INT-008-S002</t>
        </is>
      </c>
      <c r="B151" s="30" t="inlineStr">
        <is>
          <t>INT-008</t>
        </is>
      </c>
      <c r="C151" s="47" t="n">
        <v>800</v>
      </c>
      <c r="D151" s="47" t="n">
        <v>2100</v>
      </c>
      <c r="E151" s="30" t="inlineStr">
        <is>
          <t>opening</t>
        </is>
      </c>
      <c r="F151" s="30" t="inlineStr">
        <is>
          <t>null</t>
        </is>
      </c>
    </row>
    <row r="152">
      <c r="A152" s="30" t="inlineStr">
        <is>
          <t>INT-008-S003</t>
        </is>
      </c>
      <c r="B152" s="30" t="inlineStr">
        <is>
          <t>INT-008</t>
        </is>
      </c>
      <c r="C152" s="47" t="n">
        <v>900</v>
      </c>
      <c r="D152" s="47" t="n">
        <v>2100</v>
      </c>
      <c r="E152" s="30" t="inlineStr">
        <is>
          <t>opening</t>
        </is>
      </c>
      <c r="F152" s="30" t="inlineStr">
        <is>
          <t>null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21"/>
  <sheetViews>
    <sheetView workbookViewId="0">
      <selection activeCell="A1" sqref="A1"/>
    </sheetView>
  </sheetViews>
  <sheetFormatPr baseColWidth="8" defaultRowHeight="15"/>
  <cols>
    <col width="24.44000053405762" customWidth="1" style="19" min="1" max="1"/>
    <col width="24.44000053405762" customWidth="1" style="19" min="2" max="2"/>
    <col width="14.4399995803833" customWidth="1" style="19" min="3" max="3"/>
    <col width="14.4399995803833" customWidth="1" style="19" min="4" max="4"/>
    <col width="13.89000034332275" customWidth="1" style="19" min="5" max="5"/>
    <col width="16.67000007629395" customWidth="1" style="19" min="6" max="6"/>
    <col width="14.4399995803833" customWidth="1" style="19" min="7" max="7"/>
    <col width="17.21999931335449" customWidth="1" style="19" min="8" max="8"/>
    <col width="16.11000061035156" customWidth="1" style="19" min="9" max="9"/>
    <col width="8.890000343322754" customWidth="1" style="19" min="10" max="10"/>
    <col width="17.78000068664551" customWidth="1" style="19" min="11" max="11"/>
    <col width="54.43999862670898" customWidth="1" style="19" min="12" max="12"/>
  </cols>
  <sheetData>
    <row r="2" ht="30" customHeight="1" s="19">
      <c r="A2" s="46" t="inlineStr">
        <is>
          <t>Нестандартные размеры. Правило расчёта</t>
        </is>
      </c>
    </row>
    <row r="3" ht="38" customHeight="1" s="19">
      <c r="A3" s="45" t="inlineStr">
        <is>
          <t>Надбавка применяется только к базе изделия. Каждая нестандартная строка подлежит уточнению на производстве.</t>
        </is>
      </c>
    </row>
    <row r="5" ht="44" customHeight="1" s="19">
      <c r="A5" s="23" t="inlineStr">
        <is>
          <t>Параметр</t>
        </is>
      </c>
      <c r="B5" s="23" t="inlineStr">
        <is>
          <t>Значение</t>
        </is>
      </c>
      <c r="C5" s="23" t="inlineStr">
        <is>
          <t>Правило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48" t="n"/>
    </row>
    <row r="6" ht="70" customHeight="1" s="19">
      <c r="A6" s="30" t="inlineStr">
        <is>
          <t>large_threshold_percent</t>
        </is>
      </c>
      <c r="B6" s="47" t="n">
        <v>30</v>
      </c>
      <c r="C6" s="30" t="inlineStr">
        <is>
          <t>Строгое превышение хотя бы одного измерения переводит в тариф +100%.</t>
        </is>
      </c>
      <c r="D6" s="25" t="n"/>
      <c r="E6" s="25" t="n"/>
      <c r="F6" s="25" t="n"/>
      <c r="G6" s="25" t="n"/>
      <c r="H6" s="25" t="n"/>
      <c r="I6" s="25" t="n"/>
      <c r="J6" s="25" t="n"/>
      <c r="K6" s="25" t="n"/>
      <c r="L6" s="48" t="n"/>
    </row>
    <row r="7" ht="70" customHeight="1" s="19">
      <c r="A7" s="45" t="inlineStr">
        <is>
          <t>regular_surcharge_percent</t>
        </is>
      </c>
      <c r="B7" s="47" t="n">
        <v>30</v>
      </c>
      <c r="C7" s="18" t="inlineStr">
        <is>
          <t>Любое отличие от стандарта в пределах порога, включая уменьшение.</t>
        </is>
      </c>
    </row>
    <row r="8" ht="70" customHeight="1" s="19">
      <c r="A8" s="30" t="inlineStr">
        <is>
          <t>large_surcharge_percent</t>
        </is>
      </c>
      <c r="B8" s="47" t="n">
        <v>100</v>
      </c>
      <c r="C8" s="30" t="inlineStr">
        <is>
          <t>Надбавка вместо 30%, один раз к базе изделия.</t>
        </is>
      </c>
      <c r="D8" s="25" t="n"/>
      <c r="E8" s="25" t="n"/>
      <c r="F8" s="25" t="n"/>
      <c r="G8" s="25" t="n"/>
      <c r="H8" s="25" t="n"/>
      <c r="I8" s="25" t="n"/>
      <c r="J8" s="25" t="n"/>
      <c r="K8" s="25" t="n"/>
      <c r="L8" s="48" t="n"/>
    </row>
    <row r="9" ht="70" customHeight="1" s="19">
      <c r="A9" s="45" t="inlineStr">
        <is>
          <t>applies_to</t>
        </is>
      </c>
      <c r="B9" s="45" t="inlineStr">
        <is>
          <t>base</t>
        </is>
      </c>
      <c r="C9" s="18" t="inlineStr">
        <is>
          <t>Отдельные компоненты сохраняют обычные цены.</t>
        </is>
      </c>
    </row>
    <row r="10" ht="70" customHeight="1" s="19">
      <c r="A10" s="30" t="inlineStr">
        <is>
          <t>production_note</t>
        </is>
      </c>
      <c r="B10" s="30" t="inlineStr">
        <is>
          <t>Нестандартные позиции подлежат уточнению на производстве.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48" t="n"/>
    </row>
    <row r="13">
      <c r="A13" s="45" t="inlineStr">
        <is>
          <t>Примеры после выбора подходящего стандарта той же модели</t>
        </is>
      </c>
    </row>
    <row r="15" ht="44" customHeight="1" s="19">
      <c r="A15" s="23" t="inlineStr">
        <is>
          <t>Ш заказ</t>
        </is>
      </c>
      <c r="B15" s="23" t="inlineStr">
        <is>
          <t>В заказ</t>
        </is>
      </c>
      <c r="C15" s="23" t="inlineStr">
        <is>
          <t>Ш стандарт</t>
        </is>
      </c>
      <c r="D15" s="23" t="inlineStr">
        <is>
          <t>В стандарт</t>
        </is>
      </c>
      <c r="E15" s="23" t="inlineStr">
        <is>
          <t>База, руб.</t>
        </is>
      </c>
      <c r="F15" s="23" t="inlineStr">
        <is>
          <t>Компоненты, руб.</t>
        </is>
      </c>
      <c r="G15" s="23" t="inlineStr">
        <is>
          <t>Надбавка, %</t>
        </is>
      </c>
      <c r="H15" s="23" t="inlineStr">
        <is>
          <t>База с надбавкой</t>
        </is>
      </c>
      <c r="I15" s="23" t="inlineStr">
        <is>
          <t>За единицу</t>
        </is>
      </c>
      <c r="J15" s="23" t="inlineStr">
        <is>
          <t>Кол-во</t>
        </is>
      </c>
      <c r="K15" s="23" t="inlineStr">
        <is>
          <t>Сумма, руб.</t>
        </is>
      </c>
      <c r="L15" s="23" t="inlineStr">
        <is>
          <t>Примечание</t>
        </is>
      </c>
    </row>
    <row r="16" ht="62" customHeight="1" s="19">
      <c r="A16" s="45" t="n">
        <v>900</v>
      </c>
      <c r="B16" s="45" t="n">
        <v>2000</v>
      </c>
      <c r="C16" s="18" t="n">
        <v>900</v>
      </c>
      <c r="D16" s="18" t="n">
        <v>2000</v>
      </c>
      <c r="E16" s="18" t="n">
        <v>6500</v>
      </c>
      <c r="F16" s="18" t="n">
        <v>3280</v>
      </c>
      <c r="G16" s="18">
        <f>IF(AND(A16=C16,B16=D16),0,IF(OR(A16*100&gt;C16*(100+$B$6),B16*100&gt;D16*(100+$B$6)),$B$8,$B$7))</f>
        <v/>
      </c>
      <c r="H16" s="18">
        <f>ROUND(E16*(1+G16/100),2)</f>
        <v/>
      </c>
      <c r="I16" s="18">
        <f>SUM(H16,F16)</f>
        <v/>
      </c>
      <c r="J16" s="18" t="n">
        <v>2</v>
      </c>
      <c r="K16" s="18">
        <f>I16*J16</f>
        <v/>
      </c>
      <c r="L16" s="18">
        <f>IF(G16=0,"Стандарт","Нестандартные позиции подлежат уточнению на производстве.")</f>
        <v/>
      </c>
    </row>
    <row r="17" ht="62" customHeight="1" s="19">
      <c r="A17" s="45" t="n">
        <v>899</v>
      </c>
      <c r="B17" s="45" t="n">
        <v>2000</v>
      </c>
      <c r="C17" s="18" t="n">
        <v>900</v>
      </c>
      <c r="D17" s="18" t="n">
        <v>2000</v>
      </c>
      <c r="E17" s="18" t="n">
        <v>6500</v>
      </c>
      <c r="F17" s="18" t="n">
        <v>3280</v>
      </c>
      <c r="G17" s="18">
        <f>IF(AND(A17=C17,B17=D17),0,IF(OR(A17*100&gt;C17*(100+$B$6),B17*100&gt;D17*(100+$B$6)),$B$8,$B$7))</f>
        <v/>
      </c>
      <c r="H17" s="18">
        <f>ROUND(E17*(1+G17/100),2)</f>
        <v/>
      </c>
      <c r="I17" s="18">
        <f>SUM(H17,F17)</f>
        <v/>
      </c>
      <c r="J17" s="18" t="n">
        <v>2</v>
      </c>
      <c r="K17" s="18">
        <f>I17*J17</f>
        <v/>
      </c>
      <c r="L17" s="18">
        <f>IF(G17=0,"Стандарт","Нестандартные позиции подлежат уточнению на производстве.")</f>
        <v/>
      </c>
    </row>
    <row r="18" ht="62" customHeight="1" s="19">
      <c r="A18" s="45" t="n">
        <v>1000</v>
      </c>
      <c r="B18" s="45" t="n">
        <v>2200</v>
      </c>
      <c r="C18" s="18" t="n">
        <v>900</v>
      </c>
      <c r="D18" s="18" t="n">
        <v>2000</v>
      </c>
      <c r="E18" s="18" t="n">
        <v>6500</v>
      </c>
      <c r="F18" s="18" t="n">
        <v>3280</v>
      </c>
      <c r="G18" s="18">
        <f>IF(AND(A18=C18,B18=D18),0,IF(OR(A18*100&gt;C18*(100+$B$6),B18*100&gt;D18*(100+$B$6)),$B$8,$B$7))</f>
        <v/>
      </c>
      <c r="H18" s="18">
        <f>ROUND(E18*(1+G18/100),2)</f>
        <v/>
      </c>
      <c r="I18" s="18">
        <f>SUM(H18,F18)</f>
        <v/>
      </c>
      <c r="J18" s="18" t="n">
        <v>2</v>
      </c>
      <c r="K18" s="18">
        <f>I18*J18</f>
        <v/>
      </c>
      <c r="L18" s="18">
        <f>IF(G18=0,"Стандарт","Нестандартные позиции подлежат уточнению на производстве.")</f>
        <v/>
      </c>
    </row>
    <row r="19" ht="62" customHeight="1" s="19">
      <c r="A19" s="45" t="n">
        <v>1170</v>
      </c>
      <c r="B19" s="45" t="n">
        <v>2600</v>
      </c>
      <c r="C19" s="18" t="n">
        <v>900</v>
      </c>
      <c r="D19" s="18" t="n">
        <v>2000</v>
      </c>
      <c r="E19" s="18" t="n">
        <v>6500</v>
      </c>
      <c r="F19" s="18" t="n">
        <v>3280</v>
      </c>
      <c r="G19" s="18">
        <f>IF(AND(A19=C19,B19=D19),0,IF(OR(A19*100&gt;C19*(100+$B$6),B19*100&gt;D19*(100+$B$6)),$B$8,$B$7))</f>
        <v/>
      </c>
      <c r="H19" s="18">
        <f>ROUND(E19*(1+G19/100),2)</f>
        <v/>
      </c>
      <c r="I19" s="18">
        <f>SUM(H19,F19)</f>
        <v/>
      </c>
      <c r="J19" s="18" t="n">
        <v>2</v>
      </c>
      <c r="K19" s="18">
        <f>I19*J19</f>
        <v/>
      </c>
      <c r="L19" s="18">
        <f>IF(G19=0,"Стандарт","Нестандартные позиции подлежат уточнению на производстве.")</f>
        <v/>
      </c>
    </row>
    <row r="20" ht="62" customHeight="1" s="19">
      <c r="A20" s="45" t="n">
        <v>1171</v>
      </c>
      <c r="B20" s="45" t="n">
        <v>2000</v>
      </c>
      <c r="C20" s="18" t="n">
        <v>900</v>
      </c>
      <c r="D20" s="18" t="n">
        <v>2000</v>
      </c>
      <c r="E20" s="18" t="n">
        <v>6500</v>
      </c>
      <c r="F20" s="18" t="n">
        <v>3280</v>
      </c>
      <c r="G20" s="18">
        <f>IF(AND(A20=C20,B20=D20),0,IF(OR(A20*100&gt;C20*(100+$B$6),B20*100&gt;D20*(100+$B$6)),$B$8,$B$7))</f>
        <v/>
      </c>
      <c r="H20" s="18">
        <f>ROUND(E20*(1+G20/100),2)</f>
        <v/>
      </c>
      <c r="I20" s="18">
        <f>SUM(H20,F20)</f>
        <v/>
      </c>
      <c r="J20" s="18" t="n">
        <v>2</v>
      </c>
      <c r="K20" s="18">
        <f>I20*J20</f>
        <v/>
      </c>
      <c r="L20" s="18">
        <f>IF(G20=0,"Стандарт","Нестандартные позиции подлежат уточнению на производстве.")</f>
        <v/>
      </c>
    </row>
    <row r="21" ht="62" customHeight="1" s="19">
      <c r="A21" s="45" t="n">
        <v>900</v>
      </c>
      <c r="B21" s="45" t="n">
        <v>2601</v>
      </c>
      <c r="C21" s="18" t="n">
        <v>900</v>
      </c>
      <c r="D21" s="18" t="n">
        <v>2000</v>
      </c>
      <c r="E21" s="18" t="n">
        <v>6500</v>
      </c>
      <c r="F21" s="18" t="n">
        <v>3280</v>
      </c>
      <c r="G21" s="18">
        <f>IF(AND(A21=C21,B21=D21),0,IF(OR(A21*100&gt;C21*(100+$B$6),B21*100&gt;D21*(100+$B$6)),$B$8,$B$7))</f>
        <v/>
      </c>
      <c r="H21" s="18">
        <f>ROUND(E21*(1+G21/100),2)</f>
        <v/>
      </c>
      <c r="I21" s="18">
        <f>SUM(H21,F21)</f>
        <v/>
      </c>
      <c r="J21" s="18" t="n">
        <v>2</v>
      </c>
      <c r="K21" s="18">
        <f>I21*J21</f>
        <v/>
      </c>
      <c r="L21" s="18">
        <f>IF(G21=0,"Стандарт","Нестандартные позиции подлежат уточнению на производстве.")</f>
        <v/>
      </c>
    </row>
  </sheetData>
  <mergeCells count="8">
    <mergeCell ref="C5:L5"/>
    <mergeCell ref="A2:L2"/>
    <mergeCell ref="C8:L8"/>
    <mergeCell ref="C9:L9"/>
    <mergeCell ref="C7:L7"/>
    <mergeCell ref="B10:L10"/>
    <mergeCell ref="C6:L6"/>
    <mergeCell ref="A3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179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.33000183105469" customWidth="1" style="19" min="1" max="1"/>
    <col width="58.88999938964844" customWidth="1" style="19" min="2" max="2"/>
    <col width="40" customWidth="1" style="19" min="3" max="3"/>
    <col width="94.44000244140625" customWidth="1" style="19" min="4" max="4"/>
  </cols>
  <sheetData>
    <row r="2" ht="30" customHeight="1" s="19">
      <c r="A2" s="46" t="inlineStr">
        <is>
          <t>Слова и сокращения</t>
        </is>
      </c>
    </row>
    <row r="3" ht="24" customHeight="1" s="19">
      <c r="A3" s="45" t="inlineStr">
        <is>
          <t>Контекст определяет значение сокращения. Правило нестандарта из листа Нестандарт имеет приоритет.</t>
        </is>
      </c>
    </row>
    <row r="5" ht="44" customHeight="1" s="19">
      <c r="A5" s="23" t="inlineStr">
        <is>
          <t>Слово / код</t>
        </is>
      </c>
      <c r="B5" s="23" t="inlineStr">
        <is>
          <t>Значение</t>
        </is>
      </c>
      <c r="C5" s="23" t="inlineStr">
        <is>
          <t>Контекст</t>
        </is>
      </c>
      <c r="D5" s="23" t="inlineStr">
        <is>
          <t>Правило агента</t>
        </is>
      </c>
    </row>
    <row r="6" ht="58" customHeight="1" s="19">
      <c r="A6" s="30" t="inlineStr">
        <is>
          <t>дверь</t>
        </is>
      </c>
      <c r="B6" s="30" t="inlineStr">
        <is>
          <t>Изделие без определённой комплектации</t>
        </is>
      </c>
      <c r="C6" s="30" t="inlineStr">
        <is>
          <t>Комплектация</t>
        </is>
      </c>
      <c r="D6" s="30" t="inlineStr">
        <is>
          <t>Уточнить состав, единицу тарифа и количество деталей. Не считать по одному общему слову.</t>
        </is>
      </c>
    </row>
    <row r="7" ht="58" customHeight="1" s="19">
      <c r="A7" s="45" t="inlineStr">
        <is>
          <t>дверной блок / ДБ / БД</t>
        </is>
      </c>
      <c r="B7" s="45" t="inlineStr">
        <is>
          <t>Полотно или полотна с коробкой как сборочная единица</t>
        </is>
      </c>
      <c r="C7" s="18" t="inlineStr">
        <is>
          <t>Комплектация</t>
        </is>
      </c>
      <c r="D7" s="18" t="inlineStr">
        <is>
          <t>Уточнить состав, единицу тарифа и количество деталей. Не считать по одному общему слову.</t>
        </is>
      </c>
    </row>
    <row r="8" ht="58" customHeight="1" s="19">
      <c r="A8" s="30" t="inlineStr">
        <is>
          <t>полотно / створка</t>
        </is>
      </c>
      <c r="B8" s="30" t="inlineStr">
        <is>
          <t>Подвижная часть двери</t>
        </is>
      </c>
      <c r="C8" s="30" t="inlineStr">
        <is>
          <t>Комплектация</t>
        </is>
      </c>
      <c r="D8" s="30" t="inlineStr">
        <is>
          <t>Уточнить состав, единицу тарифа и количество деталей. Не считать по одному общему слову.</t>
        </is>
      </c>
    </row>
    <row r="9" ht="58" customHeight="1" s="19">
      <c r="A9" s="45" t="inlineStr">
        <is>
          <t>комплект / под ключ</t>
        </is>
      </c>
      <c r="B9" s="45" t="inlineStr">
        <is>
          <t>Неопределённый набор поставки и услуг</t>
        </is>
      </c>
      <c r="C9" s="18" t="inlineStr">
        <is>
          <t>Комплектация</t>
        </is>
      </c>
      <c r="D9" s="18" t="inlineStr">
        <is>
          <t>Уточнить состав, единицу тарифа и количество деталей. Не считать по одному общему слову.</t>
        </is>
      </c>
    </row>
    <row r="10" ht="58" customHeight="1" s="19">
      <c r="A10" s="30" t="inlineStr">
        <is>
          <t>погонаж</t>
        </is>
      </c>
      <c r="B10" s="30" t="inlineStr">
        <is>
          <t>Коробка, наличники, доборы и другие профильные детали</t>
        </is>
      </c>
      <c r="C10" s="30" t="inlineStr">
        <is>
          <t>Комплектация</t>
        </is>
      </c>
      <c r="D10" s="30" t="inlineStr">
        <is>
          <t>Уточнить состав, единицу тарифа и количество деталей. Не считать по одному общему слову.</t>
        </is>
      </c>
    </row>
    <row r="11" ht="58" customHeight="1" s="19">
      <c r="A11" s="45" t="inlineStr">
        <is>
          <t>короб / коробка / рама</t>
        </is>
      </c>
      <c r="B11" s="45" t="inlineStr">
        <is>
          <t>Неподвижная часть блока</t>
        </is>
      </c>
      <c r="C11" s="18" t="inlineStr">
        <is>
          <t>Комплектация</t>
        </is>
      </c>
      <c r="D11" s="18" t="inlineStr">
        <is>
          <t>Уточнить состав, единицу тарифа и количество деталей. Не считать по одному общему слову.</t>
        </is>
      </c>
    </row>
    <row r="12" ht="58" customHeight="1" s="19">
      <c r="A12" s="30" t="inlineStr">
        <is>
          <t>наличник / обналичка</t>
        </is>
      </c>
      <c r="B12" s="30" t="inlineStr">
        <is>
          <t>Отделка примыкания коробки к стене</t>
        </is>
      </c>
      <c r="C12" s="30" t="inlineStr">
        <is>
          <t>Комплектация</t>
        </is>
      </c>
      <c r="D12" s="30" t="inlineStr">
        <is>
          <t>Уточнить состав, единицу тарифа и количество деталей. Не считать по одному общему слову.</t>
        </is>
      </c>
    </row>
    <row r="13" ht="58" customHeight="1" s="19">
      <c r="A13" s="45" t="inlineStr">
        <is>
          <t>добор / расширитель</t>
        </is>
      </c>
      <c r="B13" s="45" t="inlineStr">
        <is>
          <t>Элемент расширения коробки по толщине стены</t>
        </is>
      </c>
      <c r="C13" s="18" t="inlineStr">
        <is>
          <t>Комплектация</t>
        </is>
      </c>
      <c r="D13" s="18" t="inlineStr">
        <is>
          <t>Уточнить состав, единицу тарифа и количество деталей. Не считать по одному общему слову.</t>
        </is>
      </c>
    </row>
    <row r="14" ht="58" customHeight="1" s="19">
      <c r="A14" s="30" t="inlineStr">
        <is>
          <t>притвор / нащельник</t>
        </is>
      </c>
      <c r="B14" s="30" t="inlineStr">
        <is>
          <t>Деталь перекрытия стыка или зазора</t>
        </is>
      </c>
      <c r="C14" s="30" t="inlineStr">
        <is>
          <t>Комплектация</t>
        </is>
      </c>
      <c r="D14" s="30" t="inlineStr">
        <is>
          <t>Уточнить состав, единицу тарифа и количество деталей. Не считать по одному общему слову.</t>
        </is>
      </c>
    </row>
    <row r="15" ht="58" customHeight="1" s="19">
      <c r="A15" s="45" t="inlineStr">
        <is>
          <t>четверть / фальц / наплав</t>
        </is>
      </c>
      <c r="B15" s="45" t="inlineStr">
        <is>
          <t>Конструктивный профиль притвора</t>
        </is>
      </c>
      <c r="C15" s="18" t="inlineStr">
        <is>
          <t>Комплектация</t>
        </is>
      </c>
      <c r="D15" s="18" t="inlineStr">
        <is>
          <t>Уточнить состав, единицу тарифа и количество деталей. Не считать по одному общему слову.</t>
        </is>
      </c>
    </row>
    <row r="16" ht="58" customHeight="1" s="19">
      <c r="A16" s="30" t="inlineStr">
        <is>
          <t>ПГ</t>
        </is>
      </c>
      <c r="B16" s="30" t="inlineStr">
        <is>
          <t>Полотно глухое</t>
        </is>
      </c>
      <c r="C16" s="30" t="inlineStr">
        <is>
          <t>Каталог/сокращение поставщика</t>
        </is>
      </c>
      <c r="D16" s="30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17" ht="58" customHeight="1" s="19">
      <c r="A17" s="45" t="inlineStr">
        <is>
          <t>ПО</t>
        </is>
      </c>
      <c r="B17" s="45" t="inlineStr">
        <is>
          <t>Полотно остеклённое</t>
        </is>
      </c>
      <c r="C17" s="18" t="inlineStr">
        <is>
          <t>Каталог/сокращение поставщика</t>
        </is>
      </c>
      <c r="D17" s="18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18" ht="58" customHeight="1" s="19">
      <c r="A18" s="30" t="inlineStr">
        <is>
          <t>ДГ</t>
        </is>
      </c>
      <c r="B18" s="30" t="inlineStr">
        <is>
          <t>Дверь глухая</t>
        </is>
      </c>
      <c r="C18" s="30" t="inlineStr">
        <is>
          <t>Каталог/сокращение поставщика</t>
        </is>
      </c>
      <c r="D18" s="30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19" ht="58" customHeight="1" s="19">
      <c r="A19" s="45" t="inlineStr">
        <is>
          <t>ДО</t>
        </is>
      </c>
      <c r="B19" s="45" t="inlineStr">
        <is>
          <t>Дверь остеклённая</t>
        </is>
      </c>
      <c r="C19" s="18" t="inlineStr">
        <is>
          <t>Каталог/сокращение поставщика</t>
        </is>
      </c>
      <c r="D19" s="18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0" ht="58" customHeight="1" s="19">
      <c r="A20" s="30" t="inlineStr">
        <is>
          <t>ДПГ</t>
        </is>
      </c>
      <c r="B20" s="30" t="inlineStr">
        <is>
          <t>Название глухого полотна или серии в прайсе</t>
        </is>
      </c>
      <c r="C20" s="30" t="inlineStr">
        <is>
          <t>Каталог/сокращение поставщика</t>
        </is>
      </c>
      <c r="D20" s="30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1" ht="58" customHeight="1" s="19">
      <c r="A21" s="45" t="inlineStr">
        <is>
          <t>ДПО</t>
        </is>
      </c>
      <c r="B21" s="45" t="inlineStr">
        <is>
          <t>Название остеклённого полотна или серии в прайсе</t>
        </is>
      </c>
      <c r="C21" s="18" t="inlineStr">
        <is>
          <t>Каталог/сокращение поставщика</t>
        </is>
      </c>
      <c r="D21" s="18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2" ht="58" customHeight="1" s="19">
      <c r="A22" s="30" t="inlineStr">
        <is>
          <t>ДПГ-0 / Модель-0</t>
        </is>
      </c>
      <c r="B22" s="30" t="inlineStr">
        <is>
          <t>Конкретные названия звукоизоляционных серий</t>
        </is>
      </c>
      <c r="C22" s="30" t="inlineStr">
        <is>
          <t>Каталог/сокращение поставщика</t>
        </is>
      </c>
      <c r="D22" s="30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3" ht="58" customHeight="1" s="19">
      <c r="A23" s="45" t="inlineStr">
        <is>
          <t>ПШГ</t>
        </is>
      </c>
      <c r="B23" s="45" t="inlineStr">
        <is>
          <t>Название шумоизоляционной серии, цены в этих файлах нет</t>
        </is>
      </c>
      <c r="C23" s="18" t="inlineStr">
        <is>
          <t>Каталог/сокращение поставщика</t>
        </is>
      </c>
      <c r="D23" s="18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4" ht="58" customHeight="1" s="19">
      <c r="A24" s="30" t="inlineStr">
        <is>
          <t>ДДП / ДДПО</t>
        </is>
      </c>
      <c r="B24" s="30" t="inlineStr">
        <is>
          <t>Названия противопожарных деревянных серий в прайсе</t>
        </is>
      </c>
      <c r="C24" s="30" t="inlineStr">
        <is>
          <t>Каталог/сокращение поставщика</t>
        </is>
      </c>
      <c r="D24" s="30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5" ht="58" customHeight="1" s="19">
      <c r="A25" s="45" t="inlineStr">
        <is>
          <t>ДМ-1 / ДМО-1</t>
        </is>
      </c>
      <c r="B25" s="45" t="inlineStr">
        <is>
          <t>Названия металлических моделей сайта</t>
        </is>
      </c>
      <c r="C25" s="18" t="inlineStr">
        <is>
          <t>Каталог/сокращение поставщика</t>
        </is>
      </c>
      <c r="D25" s="18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6" ht="58" customHeight="1" s="19">
      <c r="A26" s="30" t="inlineStr">
        <is>
          <t>ДМП / ДПМ / ДПД / ДПМО</t>
        </is>
      </c>
      <c r="B26" s="30" t="inlineStr">
        <is>
          <t>Поставщицкие сокращения противопожарных дверей</t>
        </is>
      </c>
      <c r="C26" s="30" t="inlineStr">
        <is>
          <t>Каталог/сокращение поставщика</t>
        </is>
      </c>
      <c r="D26" s="30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7" ht="58" customHeight="1" s="19">
      <c r="A27" s="45" t="inlineStr">
        <is>
          <t>Т-01 / Л-21 / NK / SMK</t>
        </is>
      </c>
      <c r="B27" s="45" t="inlineStr">
        <is>
          <t>Индексы моделей или серий</t>
        </is>
      </c>
      <c r="C27" s="18" t="inlineStr">
        <is>
          <t>Каталог/сокращение поставщика</t>
        </is>
      </c>
      <c r="D27" s="18" t="inlineStr">
        <is>
          <t>Одно сокращение может вести к нескольким строкам. Нужны материал, покрытие, назначение и исполнение.</t>
        </is>
      </c>
    </row>
    <row r="28" ht="58" customHeight="1" s="19">
      <c r="A28" s="30" t="inlineStr">
        <is>
          <t>ДН</t>
        </is>
      </c>
      <c r="B28" s="30" t="inlineStr">
        <is>
          <t>Наружная входная дверь</t>
        </is>
      </c>
      <c r="C28" s="30" t="inlineStr">
        <is>
          <t>ГОСТ 475: читать вместе с редакцией</t>
        </is>
      </c>
      <c r="D28" s="30" t="inlineStr">
        <is>
          <t>Не переносить значение буквы в другую систему маркировки.</t>
        </is>
      </c>
    </row>
    <row r="29" ht="58" customHeight="1" s="19">
      <c r="A29" s="45" t="inlineStr">
        <is>
          <t>ДМ</t>
        </is>
      </c>
      <c r="B29" s="45" t="inlineStr">
        <is>
          <t>Межкомнатная или внутренняя дверь в контексте деревянного блока</t>
        </is>
      </c>
      <c r="C29" s="18" t="inlineStr">
        <is>
          <t>ГОСТ 475: читать вместе с редакцией</t>
        </is>
      </c>
      <c r="D29" s="18" t="inlineStr">
        <is>
          <t>Не переносить значение буквы в другую систему маркировки.</t>
        </is>
      </c>
    </row>
    <row r="30" ht="58" customHeight="1" s="19">
      <c r="A30" s="30" t="inlineStr">
        <is>
          <t>ДС</t>
        </is>
      </c>
      <c r="B30" s="30" t="inlineStr">
        <is>
          <t>Дверь санузла</t>
        </is>
      </c>
      <c r="C30" s="30" t="inlineStr">
        <is>
          <t>ГОСТ 475: читать вместе с редакцией</t>
        </is>
      </c>
      <c r="D30" s="30" t="inlineStr">
        <is>
          <t>Не переносить значение буквы в другую систему маркировки.</t>
        </is>
      </c>
    </row>
    <row r="31" ht="58" customHeight="1" s="19">
      <c r="A31" s="45" t="inlineStr">
        <is>
          <t>Рп / Рл</t>
        </is>
      </c>
      <c r="B31" s="45" t="inlineStr">
        <is>
          <t>Распашное правое / левое открывание</t>
        </is>
      </c>
      <c r="C31" s="18" t="inlineStr">
        <is>
          <t>ГОСТ 475: читать вместе с редакцией</t>
        </is>
      </c>
      <c r="D31" s="18" t="inlineStr">
        <is>
          <t>Не переносить значение буквы в другую систему маркировки.</t>
        </is>
      </c>
    </row>
    <row r="32" ht="58" customHeight="1" s="19">
      <c r="A32" s="30" t="inlineStr">
        <is>
          <t>К / Р / Р2 / С</t>
        </is>
      </c>
      <c r="B32" s="30" t="inlineStr">
        <is>
          <t>Качающаяся / раздвижная / двупольная раздвижная / складная</t>
        </is>
      </c>
      <c r="C32" s="30" t="inlineStr">
        <is>
          <t>ГОСТ 475: читать вместе с редакцией</t>
        </is>
      </c>
      <c r="D32" s="30" t="inlineStr">
        <is>
          <t>Не переносить значение буквы в другую систему маркировки.</t>
        </is>
      </c>
    </row>
    <row r="33" ht="58" customHeight="1" s="19">
      <c r="A33" s="45" t="inlineStr">
        <is>
          <t>Пр / По</t>
        </is>
      </c>
      <c r="B33" s="45" t="inlineStr">
        <is>
          <t>Порог / опускающийся порог</t>
        </is>
      </c>
      <c r="C33" s="18" t="inlineStr">
        <is>
          <t>ГОСТ 475: читать вместе с редакцией</t>
        </is>
      </c>
      <c r="D33" s="18" t="inlineStr">
        <is>
          <t>Не переносить значение буквы в другую систему маркировки.</t>
        </is>
      </c>
    </row>
    <row r="34" ht="58" customHeight="1" s="19">
      <c r="A34" s="30" t="inlineStr">
        <is>
          <t>Г / О</t>
        </is>
      </c>
      <c r="B34" s="30" t="inlineStr">
        <is>
          <t>Глухое заполнение / остекление</t>
        </is>
      </c>
      <c r="C34" s="30" t="inlineStr">
        <is>
          <t>ГОСТ 475: читать вместе с редакцией</t>
        </is>
      </c>
      <c r="D34" s="30" t="inlineStr">
        <is>
          <t>Не переносить значение буквы в другую систему маркировки.</t>
        </is>
      </c>
    </row>
    <row r="35" ht="58" customHeight="1" s="19">
      <c r="A35" s="45" t="inlineStr">
        <is>
          <t>ДВ</t>
        </is>
      </c>
      <c r="B35" s="45" t="inlineStr">
        <is>
          <t>В 2016: внутренняя входная в квартиры и помещения; в 2026: входная в квартиру с лестничной клетки</t>
        </is>
      </c>
      <c r="C35" s="18" t="inlineStr">
        <is>
          <t>Различие редакций 475</t>
        </is>
      </c>
      <c r="D35" s="18" t="inlineStr">
        <is>
          <t>Определить год ГОСТа и назначение. Не подставлять металлическую ДМ-1.</t>
        </is>
      </c>
    </row>
    <row r="36" ht="58" customHeight="1" s="19">
      <c r="A36" s="30" t="inlineStr">
        <is>
          <t>ПрБ</t>
        </is>
      </c>
      <c r="B36" s="30" t="inlineStr">
        <is>
          <t>Без порога в маркировке 475-2016</t>
        </is>
      </c>
      <c r="C36" s="30" t="inlineStr">
        <is>
          <t>Историческая редакция 2016</t>
        </is>
      </c>
      <c r="D36" s="30" t="inlineStr">
        <is>
          <t>Не дописывать это сокращение в новую марку 475-2026 как будто формат неизменен.</t>
        </is>
      </c>
    </row>
    <row r="37" ht="58" customHeight="1" s="19">
      <c r="A37" s="45" t="inlineStr">
        <is>
          <t>Р1п / Р1л / Р2п / Р2л</t>
        </is>
      </c>
      <c r="B37" s="45" t="inlineStr">
        <is>
          <t>Одно- или двупольная распашная дверь с направлением</t>
        </is>
      </c>
      <c r="C37" s="18" t="inlineStr">
        <is>
          <t>ГОСТ 475-2026</t>
        </is>
      </c>
      <c r="D37" s="18" t="inlineStr">
        <is>
          <t>Сохранять редакцию и исходное написание.</t>
        </is>
      </c>
    </row>
    <row r="38" ht="58" customHeight="1" s="19">
      <c r="A38" s="30" t="inlineStr">
        <is>
          <t>Ч</t>
        </is>
      </c>
      <c r="B38" s="30" t="inlineStr">
        <is>
          <t>Частичное остекление</t>
        </is>
      </c>
      <c r="C38" s="30" t="inlineStr">
        <is>
          <t>ГОСТ 475-2026</t>
        </is>
      </c>
      <c r="D38" s="30" t="inlineStr">
        <is>
          <t>Не приравнивать к любому предложенному остеклению без исполнения.</t>
        </is>
      </c>
    </row>
    <row r="39" ht="58" customHeight="1" s="19">
      <c r="A39" s="45" t="inlineStr">
        <is>
          <t>Мд1–Мд4 / М1–М4</t>
        </is>
      </c>
      <c r="B39" s="45" t="inlineStr">
        <is>
          <t>Классы прочности в разных редакциях деревянных дверей</t>
        </is>
      </c>
      <c r="C39" s="18" t="inlineStr">
        <is>
          <t>Редакция обязательна</t>
        </is>
      </c>
      <c r="D39" s="18" t="inlineStr">
        <is>
          <t>Не стирать букву д при нормализации и не присваивать классы по материалу.</t>
        </is>
      </c>
    </row>
    <row r="40" ht="58" customHeight="1" s="19">
      <c r="A40" s="30" t="inlineStr">
        <is>
          <t>21-9 / 21×9</t>
        </is>
      </c>
      <c r="B40" s="30" t="inlineStr">
        <is>
          <t>Исторический размер проёма: высота 21 дм и ширина 9 дм</t>
        </is>
      </c>
      <c r="C40" s="30" t="inlineStr">
        <is>
          <t>ГОСТ 6629-88 или 475-2016</t>
        </is>
      </c>
      <c r="D40" s="30" t="inlineStr">
        <is>
          <t>Нельзя автоматически превратить в полотно 2000×800.</t>
        </is>
      </c>
    </row>
    <row r="41" ht="58" customHeight="1" s="19">
      <c r="A41" s="45" t="inlineStr">
        <is>
          <t>2100×900 в новой марке</t>
        </is>
      </c>
      <c r="B41" s="45" t="inlineStr">
        <is>
          <t>Габариты изделия в миллиметрах</t>
        </is>
      </c>
      <c r="C41" s="18" t="inlineStr">
        <is>
          <t>ГОСТ 475-2026</t>
        </is>
      </c>
      <c r="D41" s="18" t="inlineStr">
        <is>
          <t>Не читать как старые дециметры и не путать с просветом.</t>
        </is>
      </c>
    </row>
    <row r="42" ht="58" customHeight="1" s="19">
      <c r="A42" s="30" t="inlineStr">
        <is>
          <t>ДСН</t>
        </is>
      </c>
      <c r="B42" s="30" t="inlineStr">
        <is>
          <t>Стальной наружный блок</t>
        </is>
      </c>
      <c r="C42" s="30" t="inlineStr">
        <is>
          <t>ГОСТ 31173-2016</t>
        </is>
      </c>
      <c r="D42" s="30" t="inlineStr">
        <is>
          <t>Читать только в контексте марки стального блока. Класс замка не равен классу двери.</t>
        </is>
      </c>
    </row>
    <row r="43" ht="58" customHeight="1" s="19">
      <c r="A43" s="45" t="inlineStr">
        <is>
          <t>ДСВх</t>
        </is>
      </c>
      <c r="B43" s="45" t="inlineStr">
        <is>
          <t>Стальной входной блок с лестничной клетки</t>
        </is>
      </c>
      <c r="C43" s="18" t="inlineStr">
        <is>
          <t>ГОСТ 31173-2016</t>
        </is>
      </c>
      <c r="D43" s="18" t="inlineStr">
        <is>
          <t>Читать только в контексте марки стального блока. Класс замка не равен классу двери.</t>
        </is>
      </c>
    </row>
    <row r="44" ht="58" customHeight="1" s="19">
      <c r="A44" s="30" t="inlineStr">
        <is>
          <t>ДСВ</t>
        </is>
      </c>
      <c r="B44" s="30" t="inlineStr">
        <is>
          <t>Стальной внутренний блок</t>
        </is>
      </c>
      <c r="C44" s="30" t="inlineStr">
        <is>
          <t>ГОСТ 31173-2016</t>
        </is>
      </c>
      <c r="D44" s="30" t="inlineStr">
        <is>
          <t>Читать только в контексте марки стального блока. Класс замка не равен классу двери.</t>
        </is>
      </c>
    </row>
    <row r="45" ht="58" customHeight="1" s="19">
      <c r="A45" s="45" t="inlineStr">
        <is>
          <t>ДСВв</t>
        </is>
      </c>
      <c r="B45" s="45" t="inlineStr">
        <is>
          <t>Стальной блок вспомогательных помещений</t>
        </is>
      </c>
      <c r="C45" s="18" t="inlineStr">
        <is>
          <t>ГОСТ 31173-2016</t>
        </is>
      </c>
      <c r="D45" s="18" t="inlineStr">
        <is>
          <t>Читать только в контексте марки стального блока. Класс замка не равен классу двери.</t>
        </is>
      </c>
    </row>
    <row r="46" ht="58" customHeight="1" s="19">
      <c r="A46" s="30" t="inlineStr">
        <is>
          <t>ДСУЗ</t>
        </is>
      </c>
      <c r="B46" s="30" t="inlineStr">
        <is>
          <t>Стальной блок с усиленной защитой</t>
        </is>
      </c>
      <c r="C46" s="30" t="inlineStr">
        <is>
          <t>ГОСТ 31173-2016</t>
        </is>
      </c>
      <c r="D46" s="30" t="inlineStr">
        <is>
          <t>Читать только в контексте марки стального блока. Класс замка не равен классу двери.</t>
        </is>
      </c>
    </row>
    <row r="47" ht="58" customHeight="1" s="19">
      <c r="A47" s="45" t="inlineStr">
        <is>
          <t>Оп / Дп</t>
        </is>
      </c>
      <c r="B47" s="45" t="inlineStr">
        <is>
          <t>Однопольный / двупольный</t>
        </is>
      </c>
      <c r="C47" s="18" t="inlineStr">
        <is>
          <t>ГОСТ 31173-2016</t>
        </is>
      </c>
      <c r="D47" s="18" t="inlineStr">
        <is>
          <t>Читать только в контексте марки стального блока. Класс замка не равен классу двери.</t>
        </is>
      </c>
    </row>
    <row r="48" ht="58" customHeight="1" s="19">
      <c r="A48" s="30" t="inlineStr">
        <is>
          <t>Прг / Брг</t>
        </is>
      </c>
      <c r="B48" s="30" t="inlineStr">
        <is>
          <t>С порогом / без порога</t>
        </is>
      </c>
      <c r="C48" s="30" t="inlineStr">
        <is>
          <t>ГОСТ 31173-2016</t>
        </is>
      </c>
      <c r="D48" s="30" t="inlineStr">
        <is>
          <t>Читать только в контексте марки стального блока. Класс замка не равен классу двери.</t>
        </is>
      </c>
    </row>
    <row r="49" ht="58" customHeight="1" s="19">
      <c r="A49" s="45" t="inlineStr">
        <is>
          <t>Л / Пр</t>
        </is>
      </c>
      <c r="B49" s="45" t="inlineStr">
        <is>
          <t>Левое / правое открывание</t>
        </is>
      </c>
      <c r="C49" s="18" t="inlineStr">
        <is>
          <t>ГОСТ 31173-2016</t>
        </is>
      </c>
      <c r="D49" s="18" t="inlineStr">
        <is>
          <t>Читать только в контексте марки стального блока. Класс замка не равен классу двери.</t>
        </is>
      </c>
    </row>
    <row r="50" ht="58" customHeight="1" s="19">
      <c r="A50" s="30" t="inlineStr">
        <is>
          <t>Вн / Н</t>
        </is>
      </c>
      <c r="B50" s="30" t="inlineStr">
        <is>
          <t>Открывание внутрь / наружу</t>
        </is>
      </c>
      <c r="C50" s="30" t="inlineStr">
        <is>
          <t>ГОСТ 31173-2016</t>
        </is>
      </c>
      <c r="D50" s="30" t="inlineStr">
        <is>
          <t>Читать только в контексте марки стального блока. Класс замка не равен классу двери.</t>
        </is>
      </c>
    </row>
    <row r="51" ht="58" customHeight="1" s="19">
      <c r="A51" s="45" t="inlineStr">
        <is>
          <t>П2лс</t>
        </is>
      </c>
      <c r="B51" s="45" t="inlineStr">
        <is>
          <t>Полотно из двух стальных листов</t>
        </is>
      </c>
      <c r="C51" s="18" t="inlineStr">
        <is>
          <t>ГОСТ 31173-2016</t>
        </is>
      </c>
      <c r="D51" s="18" t="inlineStr">
        <is>
          <t>Читать только в контексте марки стального блока. Класс замка не равен классу двери.</t>
        </is>
      </c>
    </row>
    <row r="52" ht="58" customHeight="1" s="19">
      <c r="A52" s="30" t="inlineStr">
        <is>
          <t>О</t>
        </is>
      </c>
      <c r="B52" s="30" t="inlineStr">
        <is>
          <t>Обычное исполнение, не обязательно остекление</t>
        </is>
      </c>
      <c r="C52" s="30" t="inlineStr">
        <is>
          <t>ГОСТ 31173-2016</t>
        </is>
      </c>
      <c r="D52" s="30" t="inlineStr">
        <is>
          <t>Читать только в контексте марки стального блока. Класс замка не равен классу двери.</t>
        </is>
      </c>
    </row>
    <row r="53" ht="58" customHeight="1" s="19">
      <c r="A53" s="45" t="inlineStr">
        <is>
          <t>М1–М5</t>
        </is>
      </c>
      <c r="B53" s="45" t="inlineStr">
        <is>
          <t>Классы механической прочности стального блока</t>
        </is>
      </c>
      <c r="C53" s="18" t="inlineStr">
        <is>
          <t>ГОСТ 31173-2016</t>
        </is>
      </c>
      <c r="D53" s="18" t="inlineStr">
        <is>
          <t>Читать только в контексте марки стального блока. Класс замка не равен классу двери.</t>
        </is>
      </c>
    </row>
    <row r="54" ht="58" customHeight="1" s="19">
      <c r="A54" s="30" t="inlineStr">
        <is>
          <t>ДПС / ДПСО</t>
        </is>
      </c>
      <c r="B54" s="30" t="inlineStr">
        <is>
          <t>Стальная противопожарная глухая / остеклённая дверь</t>
        </is>
      </c>
      <c r="C54" s="30" t="inlineStr">
        <is>
          <t>ГОСТ Р 57327-2016</t>
        </is>
      </c>
      <c r="D54" s="30" t="inlineStr">
        <is>
          <t>Использовать как признаки, а не как уникальную модель или цену.</t>
        </is>
      </c>
    </row>
    <row r="55" ht="58" customHeight="1" s="19">
      <c r="A55" s="45" t="inlineStr">
        <is>
          <t>01 / 02</t>
        </is>
      </c>
      <c r="B55" s="45" t="inlineStr">
        <is>
          <t>Однопольное / двупольное исполнение</t>
        </is>
      </c>
      <c r="C55" s="18" t="inlineStr">
        <is>
          <t>ГОСТ Р 57327-2016</t>
        </is>
      </c>
      <c r="D55" s="18" t="inlineStr">
        <is>
          <t>Использовать как признаки, а не как уникальную модель или цену.</t>
        </is>
      </c>
    </row>
    <row r="56" ht="58" customHeight="1" s="19">
      <c r="A56" s="30" t="inlineStr">
        <is>
          <t>E / Е</t>
        </is>
      </c>
      <c r="B56" s="30" t="inlineStr">
        <is>
          <t>Целостность при пожаре</t>
        </is>
      </c>
      <c r="C56" s="30" t="inlineStr">
        <is>
          <t>Огнестойкость</t>
        </is>
      </c>
      <c r="D56" s="30" t="inlineStr">
        <is>
          <t>E30 не равен EI30. EI60 не равен EIS60. Нужны документы на размер, стекло и фурнитуру исполнения.</t>
        </is>
      </c>
    </row>
    <row r="57" ht="58" customHeight="1" s="19">
      <c r="A57" s="45" t="inlineStr">
        <is>
          <t>I / EI</t>
        </is>
      </c>
      <c r="B57" s="45" t="inlineStr">
        <is>
          <t>Теплоизолирующая способность / сочетание E и I</t>
        </is>
      </c>
      <c r="C57" s="18" t="inlineStr">
        <is>
          <t>Огнестойкость</t>
        </is>
      </c>
      <c r="D57" s="18" t="inlineStr">
        <is>
          <t>E30 не равен EI30. EI60 не равен EIS60. Нужны документы на размер, стекло и фурнитуру исполнения.</t>
        </is>
      </c>
    </row>
    <row r="58" ht="58" customHeight="1" s="19">
      <c r="A58" s="30" t="inlineStr">
        <is>
          <t>S / EIS</t>
        </is>
      </c>
      <c r="B58" s="30" t="inlineStr">
        <is>
          <t>Дымогазонепроницаемость / сочетание E,I,S</t>
        </is>
      </c>
      <c r="C58" s="30" t="inlineStr">
        <is>
          <t>Огнестойкость</t>
        </is>
      </c>
      <c r="D58" s="30" t="inlineStr">
        <is>
          <t>E30 не равен EI30. EI60 не равен EIS60. Нужны документы на размер, стекло и фурнитуру исполнения.</t>
        </is>
      </c>
    </row>
    <row r="59" ht="58" customHeight="1" s="19">
      <c r="A59" s="45" t="inlineStr">
        <is>
          <t>EI30 / EI60 / EI90</t>
        </is>
      </c>
      <c r="B59" s="45" t="inlineStr">
        <is>
          <t>Огнестойкость по двум критериям в минутах</t>
        </is>
      </c>
      <c r="C59" s="18" t="inlineStr">
        <is>
          <t>Огнестойкость</t>
        </is>
      </c>
      <c r="D59" s="18" t="inlineStr">
        <is>
          <t>E30 не равен EI30. EI60 не равен EIS60. Нужны документы на размер, стекло и фурнитуру исполнения.</t>
        </is>
      </c>
    </row>
    <row r="60" ht="58" customHeight="1" s="19">
      <c r="A60" s="30" t="inlineStr">
        <is>
          <t>Е-30</t>
        </is>
      </c>
      <c r="B60" s="30" t="inlineStr">
        <is>
          <t>Возможное обозначение серии или только E30</t>
        </is>
      </c>
      <c r="C60" s="30" t="inlineStr">
        <is>
          <t>Огнестойкость</t>
        </is>
      </c>
      <c r="D60" s="30" t="inlineStr">
        <is>
          <t>E30 не равен EI30. EI60 не равен EIS60. Нужны документы на размер, стекло и фурнитуру исполнения.</t>
        </is>
      </c>
    </row>
    <row r="61" ht="58" customHeight="1" s="19">
      <c r="A61" s="45" t="inlineStr">
        <is>
          <t>EIW / EIW60</t>
        </is>
      </c>
      <c r="B61" s="45" t="inlineStr">
        <is>
          <t>Дополнительный критерий теплового излучения</t>
        </is>
      </c>
      <c r="C61" s="18" t="inlineStr">
        <is>
          <t>Огнестойкость</t>
        </is>
      </c>
      <c r="D61" s="18" t="inlineStr">
        <is>
          <t>E30 не равен EI30. EI60 не равен EIS60. Нужны документы на размер, стекло и фурнитуру исполнения.</t>
        </is>
      </c>
    </row>
    <row r="62" ht="58" customHeight="1" s="19">
      <c r="A62" s="30" t="inlineStr">
        <is>
          <t>Rw / дБ</t>
        </is>
      </c>
      <c r="B62" s="30" t="inlineStr">
        <is>
          <t>Индекс изоляции воздушного шума / единица уровня</t>
        </is>
      </c>
      <c r="C62" s="30" t="inlineStr">
        <is>
          <t>Акустика</t>
        </is>
      </c>
      <c r="D62" s="30" t="inlineStr">
        <is>
          <t>Число из названия ГОСТа или рекламного диапазона не заменяет протокол на модель.</t>
        </is>
      </c>
    </row>
    <row r="63" ht="58" customHeight="1" s="19">
      <c r="A63" s="45" t="inlineStr">
        <is>
          <t>З1 / З2 / З3</t>
        </is>
      </c>
      <c r="B63" s="45" t="inlineStr">
        <is>
          <t>Классы звукоизоляции в 475-2016</t>
        </is>
      </c>
      <c r="C63" s="18" t="inlineStr">
        <is>
          <t>Акустика</t>
        </is>
      </c>
      <c r="D63" s="18" t="inlineStr">
        <is>
          <t>Число из названия ГОСТа или рекламного диапазона не заменяет протокол на модель.</t>
        </is>
      </c>
    </row>
    <row r="64" ht="58" customHeight="1" s="19">
      <c r="A64" s="30" t="inlineStr">
        <is>
          <t>35–42 дБ</t>
        </is>
      </c>
      <c r="B64" s="30" t="inlineStr">
        <is>
          <t>Диапазон рекламного описания в прайсе</t>
        </is>
      </c>
      <c r="C64" s="30" t="inlineStr">
        <is>
          <t>Акустика</t>
        </is>
      </c>
      <c r="D64" s="30" t="inlineStr">
        <is>
          <t>Число из названия ГОСТа или рекламного диапазона не заменяет протокол на модель.</t>
        </is>
      </c>
    </row>
    <row r="65" ht="58" customHeight="1" s="19">
      <c r="A65" s="45" t="inlineStr">
        <is>
          <t>шумоизоляционная</t>
        </is>
      </c>
      <c r="B65" s="45" t="inlineStr">
        <is>
          <t>Запрос на акустические свойства</t>
        </is>
      </c>
      <c r="C65" s="18" t="inlineStr">
        <is>
          <t>Акустика</t>
        </is>
      </c>
      <c r="D65" s="18" t="inlineStr">
        <is>
          <t>Число из названия ГОСТа или рекламного диапазона не заменяет протокол на модель.</t>
        </is>
      </c>
    </row>
    <row r="66" ht="58" customHeight="1" s="19">
      <c r="A66" s="30" t="inlineStr">
        <is>
          <t>МДФ / MDF</t>
        </is>
      </c>
      <c r="B66" s="30" t="inlineStr">
        <is>
          <t>Древесноволокнистый материал средней плотности</t>
        </is>
      </c>
      <c r="C66" s="30" t="inlineStr">
        <is>
          <t>Материал/отделка/размер детали</t>
        </is>
      </c>
      <c r="D66" s="30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67" ht="58" customHeight="1" s="19">
      <c r="A67" s="45" t="inlineStr">
        <is>
          <t>ХДФ / HDF</t>
        </is>
      </c>
      <c r="B67" s="45" t="inlineStr">
        <is>
          <t>Древесноволокнистый материал высокой плотности</t>
        </is>
      </c>
      <c r="C67" s="18" t="inlineStr">
        <is>
          <t>Материал/отделка/размер детали</t>
        </is>
      </c>
      <c r="D67" s="18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68" ht="58" customHeight="1" s="19">
      <c r="A68" s="30" t="inlineStr">
        <is>
          <t>ДСП</t>
        </is>
      </c>
      <c r="B68" s="30" t="inlineStr">
        <is>
          <t>Древесностружечный материал</t>
        </is>
      </c>
      <c r="C68" s="30" t="inlineStr">
        <is>
          <t>Материал/отделка/размер детали</t>
        </is>
      </c>
      <c r="D68" s="30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69" ht="58" customHeight="1" s="19">
      <c r="A69" s="45" t="inlineStr">
        <is>
          <t>ПВХ / винил</t>
        </is>
      </c>
      <c r="B69" s="45" t="inlineStr">
        <is>
          <t>Может означать плёнку отделки или профиль</t>
        </is>
      </c>
      <c r="C69" s="18" t="inlineStr">
        <is>
          <t>Материал/отделка/размер детали</t>
        </is>
      </c>
      <c r="D69" s="18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0" ht="58" customHeight="1" s="19">
      <c r="A70" s="30" t="inlineStr">
        <is>
          <t>CPL</t>
        </is>
      </c>
      <c r="B70" s="30" t="inlineStr">
        <is>
          <t>Материал декоративной облицовки</t>
        </is>
      </c>
      <c r="C70" s="30" t="inlineStr">
        <is>
          <t>Материал/отделка/размер детали</t>
        </is>
      </c>
      <c r="D70" s="30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1" ht="58" customHeight="1" s="19">
      <c r="A71" s="45" t="inlineStr">
        <is>
          <t>HPL</t>
        </is>
      </c>
      <c r="B71" s="45" t="inlineStr">
        <is>
          <t>Иной материал облицовки; нельзя автоматически заменить CPL</t>
        </is>
      </c>
      <c r="C71" s="18" t="inlineStr">
        <is>
          <t>Материал/отделка/размер детали</t>
        </is>
      </c>
      <c r="D71" s="18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2" ht="58" customHeight="1" s="19">
      <c r="A72" s="30" t="inlineStr">
        <is>
          <t>экошпон / шпон</t>
        </is>
      </c>
      <c r="B72" s="30" t="inlineStr">
        <is>
          <t>Разные виды отделки</t>
        </is>
      </c>
      <c r="C72" s="30" t="inlineStr">
        <is>
          <t>Материал/отделка/размер детали</t>
        </is>
      </c>
      <c r="D72" s="30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3" ht="58" customHeight="1" s="19">
      <c r="A73" s="45" t="inlineStr">
        <is>
          <t>эмаль / под покраску</t>
        </is>
      </c>
      <c r="B73" s="45" t="inlineStr">
        <is>
          <t>Готовое покрытие / заготовка под отделку</t>
        </is>
      </c>
      <c r="C73" s="18" t="inlineStr">
        <is>
          <t>Материал/отделка/размер детали</t>
        </is>
      </c>
      <c r="D73" s="18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4" ht="58" customHeight="1" s="19">
      <c r="A74" s="30" t="inlineStr">
        <is>
          <t>RAL / RAL 7035</t>
        </is>
      </c>
      <c r="B74" s="30" t="inlineStr">
        <is>
          <t>Обозначение цвета, не модель</t>
        </is>
      </c>
      <c r="C74" s="30" t="inlineStr">
        <is>
          <t>Материал/отделка/размер детали</t>
        </is>
      </c>
      <c r="D74" s="30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5" ht="58" customHeight="1" s="19">
      <c r="A75" s="45" t="inlineStr">
        <is>
          <t>ABS / AL</t>
        </is>
      </c>
      <c r="B75" s="45" t="inlineStr">
        <is>
          <t>Названия материалов кромки, требуют исполнения</t>
        </is>
      </c>
      <c r="C75" s="18" t="inlineStr">
        <is>
          <t>Материал/отделка/размер детали</t>
        </is>
      </c>
      <c r="D75" s="18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6" ht="58" customHeight="1" s="19">
      <c r="A76" s="30" t="inlineStr">
        <is>
          <t>D300 / Ø300</t>
        </is>
      </c>
      <c r="B76" s="30" t="inlineStr">
        <is>
          <t>Диаметр иллюминатора, не ширина дверного блока</t>
        </is>
      </c>
      <c r="C76" s="30" t="inlineStr">
        <is>
          <t>Материал/отделка/размер детали</t>
        </is>
      </c>
      <c r="D76" s="30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7" ht="58" customHeight="1" s="19">
      <c r="A77" s="45" t="inlineStr">
        <is>
          <t>300×600</t>
        </is>
      </c>
      <c r="B77" s="45" t="inlineStr">
        <is>
          <t>Может быть размером стекла, а не всей двери</t>
        </is>
      </c>
      <c r="C77" s="18" t="inlineStr">
        <is>
          <t>Материал/отделка/размер детали</t>
        </is>
      </c>
      <c r="D77" s="18" t="inlineStr">
        <is>
          <t>Сопоставлять только с явно разрешённым вариантом. Не строить все сочетания цветов и размеров из общего списка.</t>
        </is>
      </c>
    </row>
    <row r="78" ht="58" customHeight="1" s="19">
      <c r="A78" s="30" t="inlineStr">
        <is>
          <t>лев / прав / Л / П</t>
        </is>
      </c>
      <c r="B78" s="30" t="inlineStr">
        <is>
          <t>Направление открывания</t>
        </is>
      </c>
      <c r="C78" s="30" t="inlineStr">
        <is>
          <t>Геометрия/единицы</t>
        </is>
      </c>
      <c r="D78" s="30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79" ht="58" customHeight="1" s="19">
      <c r="A79" s="45" t="inlineStr">
        <is>
          <t>наружу / внутрь</t>
        </is>
      </c>
      <c r="B79" s="45" t="inlineStr">
        <is>
          <t>Направление движения относительно помещения</t>
        </is>
      </c>
      <c r="C79" s="18" t="inlineStr">
        <is>
          <t>Геометрия/единицы</t>
        </is>
      </c>
      <c r="D79" s="18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0" ht="58" customHeight="1" s="19">
      <c r="A80" s="30" t="inlineStr">
        <is>
          <t>Avers / Revers / Reverse</t>
        </is>
      </c>
      <c r="B80" s="30" t="inlineStr">
        <is>
          <t>Вариант конструкции и направления открывания</t>
        </is>
      </c>
      <c r="C80" s="30" t="inlineStr">
        <is>
          <t>Геометрия/единицы</t>
        </is>
      </c>
      <c r="D80" s="30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1" ht="58" customHeight="1" s="19">
      <c r="A81" s="45" t="inlineStr">
        <is>
          <t>двупольная / двухстворчатая</t>
        </is>
      </c>
      <c r="B81" s="45" t="inlineStr">
        <is>
          <t>Два полотна</t>
        </is>
      </c>
      <c r="C81" s="18" t="inlineStr">
        <is>
          <t>Геометрия/единицы</t>
        </is>
      </c>
      <c r="D81" s="18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2" ht="58" customHeight="1" s="19">
      <c r="A82" s="30" t="inlineStr">
        <is>
          <t>полуторная / неравнопольная</t>
        </is>
      </c>
      <c r="B82" s="30" t="inlineStr">
        <is>
          <t>Полотна разной ширины</t>
        </is>
      </c>
      <c r="C82" s="30" t="inlineStr">
        <is>
          <t>Геометрия/единицы</t>
        </is>
      </c>
      <c r="D82" s="30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3" ht="58" customHeight="1" s="19">
      <c r="A83" s="45" t="inlineStr">
        <is>
          <t>800+400</t>
        </is>
      </c>
      <c r="B83" s="45" t="inlineStr">
        <is>
          <t>Ширины двух створок, не два независимых блока</t>
        </is>
      </c>
      <c r="C83" s="18" t="inlineStr">
        <is>
          <t>Геометрия/единицы</t>
        </is>
      </c>
      <c r="D83" s="18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4" ht="58" customHeight="1" s="19">
      <c r="A84" s="30" t="inlineStr">
        <is>
          <t>проём</t>
        </is>
      </c>
      <c r="B84" s="30" t="inlineStr">
        <is>
          <t>Размер отверстия в стене</t>
        </is>
      </c>
      <c r="C84" s="30" t="inlineStr">
        <is>
          <t>Геометрия/единицы</t>
        </is>
      </c>
      <c r="D84" s="30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5" ht="58" customHeight="1" s="19">
      <c r="A85" s="45" t="inlineStr">
        <is>
          <t>в свету / чистый проход</t>
        </is>
      </c>
      <c r="B85" s="45" t="inlineStr">
        <is>
          <t>Свободный проход, не габарит блока</t>
        </is>
      </c>
      <c r="C85" s="18" t="inlineStr">
        <is>
          <t>Геометрия/единицы</t>
        </is>
      </c>
      <c r="D85" s="18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6" ht="58" customHeight="1" s="19">
      <c r="A86" s="30" t="inlineStr">
        <is>
          <t>Ш×В / В×Ш</t>
        </is>
      </c>
      <c r="B86" s="30" t="inlineStr">
        <is>
          <t>Порядок ширины и высоты</t>
        </is>
      </c>
      <c r="C86" s="30" t="inlineStr">
        <is>
          <t>Геометрия/единицы</t>
        </is>
      </c>
      <c r="D86" s="30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7" ht="58" customHeight="1" s="19">
      <c r="A87" s="45" t="inlineStr">
        <is>
          <t>шт / компл / м.п. / м²</t>
        </is>
      </c>
      <c r="B87" s="45" t="inlineStr">
        <is>
          <t>Разные единицы расчёта</t>
        </is>
      </c>
      <c r="C87" s="18" t="inlineStr">
        <is>
          <t>Геометрия/единицы</t>
        </is>
      </c>
      <c r="D87" s="18" t="inlineStr">
        <is>
          <t>Если основание размера или количество неочевидно, запросить уточнение. Универсальный монтажный зазор не применять.</t>
        </is>
      </c>
    </row>
    <row r="88" ht="58" customHeight="1" s="19">
      <c r="A88" s="30" t="inlineStr">
        <is>
          <t>антипаника / panic</t>
        </is>
      </c>
      <c r="B88" s="30" t="inlineStr">
        <is>
          <t>Устройство аварийного открывания</t>
        </is>
      </c>
      <c r="C88" s="30" t="inlineStr">
        <is>
          <t>Дополнительное требование</t>
        </is>
      </c>
      <c r="D88" s="30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89" ht="58" customHeight="1" s="19">
      <c r="A89" s="45" t="inlineStr">
        <is>
          <t>доводчик</t>
        </is>
      </c>
      <c r="B89" s="45" t="inlineStr">
        <is>
          <t>Устройство самозакрывания</t>
        </is>
      </c>
      <c r="C89" s="18" t="inlineStr">
        <is>
          <t>Дополнительное требование</t>
        </is>
      </c>
      <c r="D89" s="18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0" ht="58" customHeight="1" s="19">
      <c r="A90" s="30" t="inlineStr">
        <is>
          <t>координатор / синхронизатор</t>
        </is>
      </c>
      <c r="B90" s="30" t="inlineStr">
        <is>
          <t>Согласование закрывания створок</t>
        </is>
      </c>
      <c r="C90" s="30" t="inlineStr">
        <is>
          <t>Дополнительное требование</t>
        </is>
      </c>
      <c r="D90" s="30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1" ht="58" customHeight="1" s="19">
      <c r="A91" s="45" t="inlineStr">
        <is>
          <t>СКУД / СКД</t>
        </is>
      </c>
      <c r="B91" s="45" t="inlineStr">
        <is>
          <t>Система управления доступом</t>
        </is>
      </c>
      <c r="C91" s="18" t="inlineStr">
        <is>
          <t>Дополнительное требование</t>
        </is>
      </c>
      <c r="D91" s="18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2" ht="58" customHeight="1" s="19">
      <c r="A92" s="30" t="inlineStr">
        <is>
          <t>электромагнит / электромеханический замок</t>
        </is>
      </c>
      <c r="B92" s="30" t="inlineStr">
        <is>
          <t>Разные устройства запирания</t>
        </is>
      </c>
      <c r="C92" s="30" t="inlineStr">
        <is>
          <t>Дополнительное требование</t>
        </is>
      </c>
      <c r="D92" s="30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3" ht="58" customHeight="1" s="19">
      <c r="A93" s="45" t="inlineStr">
        <is>
          <t>вентрешётка / переток</t>
        </is>
      </c>
      <c r="B93" s="45" t="inlineStr">
        <is>
          <t>Вентиляционный элемент</t>
        </is>
      </c>
      <c r="C93" s="18" t="inlineStr">
        <is>
          <t>Дополнительное требование</t>
        </is>
      </c>
      <c r="D93" s="18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4" ht="58" customHeight="1" s="19">
      <c r="A94" s="30" t="inlineStr">
        <is>
          <t>выпадающий порог / гильотина</t>
        </is>
      </c>
      <c r="B94" s="30" t="inlineStr">
        <is>
          <t>Опускающийся порог</t>
        </is>
      </c>
      <c r="C94" s="30" t="inlineStr">
        <is>
          <t>Дополнительное требование</t>
        </is>
      </c>
      <c r="D94" s="30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5" ht="58" customHeight="1" s="19">
      <c r="A95" s="45" t="inlineStr">
        <is>
          <t>отбойник / отбойная пластина</t>
        </is>
      </c>
      <c r="B95" s="45" t="inlineStr">
        <is>
          <t>Защитная накладка</t>
        </is>
      </c>
      <c r="C95" s="18" t="inlineStr">
        <is>
          <t>Дополнительное требование</t>
        </is>
      </c>
      <c r="D95" s="18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6" ht="58" customHeight="1" s="19">
      <c r="A96" s="30" t="inlineStr">
        <is>
          <t>люк / ворота / фрамуга</t>
        </is>
      </c>
      <c r="B96" s="30" t="inlineStr">
        <is>
          <t>Другие изделия или дополнительные части</t>
        </is>
      </c>
      <c r="C96" s="30" t="inlineStr">
        <is>
          <t>Дополнительное требование</t>
        </is>
      </c>
      <c r="D96" s="30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7" ht="58" customHeight="1" s="19">
      <c r="A97" s="45" t="inlineStr">
        <is>
          <t>терморазрыв</t>
        </is>
      </c>
      <c r="B97" s="45" t="inlineStr">
        <is>
          <t>Конструктивное свойство, не гарантия любого уличного режима</t>
        </is>
      </c>
      <c r="C97" s="18" t="inlineStr">
        <is>
          <t>Дополнительное требование</t>
        </is>
      </c>
      <c r="D97" s="18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8" ht="58" customHeight="1" s="19">
      <c r="A98" s="30" t="inlineStr">
        <is>
          <t>монтаж / демонтаж / доставка / подъём</t>
        </is>
      </c>
      <c r="B98" s="30" t="inlineStr">
        <is>
          <t>Отдельные услуги</t>
        </is>
      </c>
      <c r="C98" s="30" t="inlineStr">
        <is>
          <t>Дополнительное требование</t>
        </is>
      </c>
      <c r="D98" s="30" t="inlineStr">
        <is>
          <t>Отдельного утверждённого тарифа в в прайсе нет. Не добавлять рыночную цену, процент или бесплатную услугу.</t>
        </is>
      </c>
    </row>
    <row r="99" ht="58" customHeight="1" s="19">
      <c r="A99" s="45" t="inlineStr">
        <is>
          <t>ДК</t>
        </is>
      </c>
      <c r="B99" s="45" t="inlineStr">
        <is>
          <t>Историческая дверь с качающимся остеклённым полотном</t>
        </is>
      </c>
      <c r="C99" s="18" t="inlineStr">
        <is>
          <t>Контекст письма и ведомости</t>
        </is>
      </c>
      <c r="D99" s="18" t="inlineStr">
        <is>
          <t>Не подбирать обычную распашную дверь по одной букве К.</t>
        </is>
      </c>
    </row>
    <row r="100" ht="58" customHeight="1" s="19">
      <c r="A100" s="30" t="inlineStr">
        <is>
          <t>ДУ</t>
        </is>
      </c>
      <c r="B100" s="30" t="inlineStr">
        <is>
          <t>Усиленная дверь; смысл зависит от редакции и поставщика</t>
        </is>
      </c>
      <c r="C100" s="30" t="inlineStr">
        <is>
          <t>Контекст письма и ведомости</t>
        </is>
      </c>
      <c r="D100" s="30" t="inlineStr">
        <is>
          <t>Не назначать класс прочности по самому сокращению.</t>
        </is>
      </c>
    </row>
    <row r="101" ht="58" customHeight="1" s="19">
      <c r="A101" s="45" t="inlineStr">
        <is>
          <t>П перед типом</t>
        </is>
      </c>
      <c r="B101" s="45" t="inlineStr">
        <is>
          <t>Полотно бескоробочной двери в старой маркировке</t>
        </is>
      </c>
      <c r="C101" s="18" t="inlineStr">
        <is>
          <t>Контекст письма и ведомости</t>
        </is>
      </c>
      <c r="D101" s="18" t="inlineStr">
        <is>
          <t>Не добавлять коробку в запрос только полотна.</t>
        </is>
      </c>
    </row>
    <row r="102" ht="58" customHeight="1" s="19">
      <c r="A102" s="30" t="inlineStr">
        <is>
          <t>П после размера / Н в старой марке</t>
        </is>
      </c>
      <c r="B102" s="30" t="inlineStr">
        <is>
          <t>Порог / наплав в контексте старого ГОСТ 6629</t>
        </is>
      </c>
      <c r="C102" s="30" t="inlineStr">
        <is>
          <t>Контекст письма и ведомости</t>
        </is>
      </c>
      <c r="D102" s="30" t="inlineStr">
        <is>
          <t>Не читать Н как наружное открывание из ГОСТ 31173.</t>
        </is>
      </c>
    </row>
    <row r="103" ht="58" customHeight="1" s="19">
      <c r="A103" s="45" t="inlineStr">
        <is>
          <t>Д-1 / Д1 / ДВ-2</t>
        </is>
      </c>
      <c r="B103" s="45" t="inlineStr">
        <is>
          <t>Позиционная марка проекта, не универсальная модель</t>
        </is>
      </c>
      <c r="C103" s="18" t="inlineStr">
        <is>
          <t>Контекст письма и ведомости</t>
        </is>
      </c>
      <c r="D103" s="18" t="inlineStr">
        <is>
          <t>Найти строку ведомости, легенду чертежа и спецификацию.</t>
        </is>
      </c>
    </row>
    <row r="104" ht="58" customHeight="1" s="19">
      <c r="A104" s="30" t="inlineStr">
        <is>
          <t>КП / ТКП</t>
        </is>
      </c>
      <c r="B104" s="30" t="inlineStr">
        <is>
          <t>Коммерческое / технико-коммерческое предложение</t>
        </is>
      </c>
      <c r="C104" s="30" t="inlineStr">
        <is>
          <t>Контекст письма и ведомости</t>
        </is>
      </c>
      <c r="D104" s="30" t="inlineStr">
        <is>
          <t>Цена, состав, количество, срок и условия должны быть разделены.</t>
        </is>
      </c>
    </row>
    <row r="105" ht="58" customHeight="1" s="19">
      <c r="A105" s="45" t="inlineStr">
        <is>
          <t>ВОР / ведомость заполнения проёмов</t>
        </is>
      </c>
      <c r="B105" s="45" t="inlineStr">
        <is>
          <t>Табличная заявка или проектный документ</t>
        </is>
      </c>
      <c r="C105" s="18" t="inlineStr">
        <is>
          <t>Контекст письма и ведомости</t>
        </is>
      </c>
      <c r="D105" s="18" t="inlineStr">
        <is>
          <t>Считать позиционные количества. Заголовки, итоги и повторы не суммировать.</t>
        </is>
      </c>
    </row>
    <row r="106" ht="58" customHeight="1" s="19">
      <c r="A106" s="30" t="inlineStr">
        <is>
          <t>RAтран / Rw</t>
        </is>
      </c>
      <c r="B106" s="30" t="inlineStr">
        <is>
          <t>Разные акустические показатели</t>
        </is>
      </c>
      <c r="C106" s="30" t="inlineStr">
        <is>
          <t>Контекст письма и ведомости</t>
        </is>
      </c>
      <c r="D106" s="30" t="inlineStr">
        <is>
          <t>Не сравнивать транспортный показатель с Rw автоматически.</t>
        </is>
      </c>
    </row>
    <row r="107" ht="58" customHeight="1" s="19">
      <c r="A107" s="45" t="inlineStr">
        <is>
          <t>Экошпон и ПВХ-профиль</t>
        </is>
      </c>
      <c r="B107" s="45" t="inlineStr">
        <is>
          <t>Разные конструкции и отделки</t>
        </is>
      </c>
      <c r="C107" s="18" t="inlineStr">
        <is>
          <t>Контекст письма и ведомости</t>
        </is>
      </c>
      <c r="D107" s="18" t="inlineStr">
        <is>
          <t>Плёнка на деревянной двери не делает её блоком из ПВХ-профиля.</t>
        </is>
      </c>
    </row>
    <row r="108" ht="58" customHeight="1" s="19">
      <c r="A108" s="30" t="inlineStr">
        <is>
          <t>800 / 80 / 0,8</t>
        </is>
      </c>
      <c r="B108" s="30" t="inlineStr">
        <is>
          <t>Возможные миллиметры, сантиметры, метры</t>
        </is>
      </c>
      <c r="C108" s="30" t="inlineStr">
        <is>
          <t>Контекст письма и ведомости</t>
        </is>
      </c>
      <c r="D108" s="30" t="inlineStr">
        <is>
          <t>Переводить только при явно указанной единице. Без неё задавать вопрос.</t>
        </is>
      </c>
    </row>
    <row r="109" ht="58" customHeight="1" s="19">
      <c r="A109" s="45" t="inlineStr">
        <is>
          <t>EI-60 / ЕI60 / ЕІ 60</t>
        </is>
      </c>
      <c r="B109" s="45" t="inlineStr">
        <is>
          <t>Варианты записи одного явно распознанного кода</t>
        </is>
      </c>
      <c r="C109" s="18" t="inlineStr">
        <is>
          <t>Контекст письма и ведомости</t>
        </is>
      </c>
      <c r="D109" s="18" t="inlineStr">
        <is>
          <t>Нормализовать графику символов, сохраняя E, I, S и число.</t>
        </is>
      </c>
    </row>
    <row r="110" ht="58" customHeight="1" s="19">
      <c r="A110" s="30" t="inlineStr">
        <is>
          <t>Е160 / E1S60</t>
        </is>
      </c>
      <c r="B110" s="30" t="inlineStr">
        <is>
          <t>Возможная ошибка OCR, а не доказанный EI/EIS</t>
        </is>
      </c>
      <c r="C110" s="30" t="inlineStr">
        <is>
          <t>Контекст письма и ведомости</t>
        </is>
      </c>
      <c r="D110" s="30" t="inlineStr">
        <is>
          <t>Не чинить спорный код без проверки оригинала или уточнения.</t>
        </is>
      </c>
    </row>
    <row r="111" ht="65" customHeight="1" s="19">
      <c r="A111" s="45" t="inlineStr">
        <is>
          <t>ДР-1-Г-ЭШ-60</t>
        </is>
      </c>
      <c r="B111" s="45" t="inlineStr">
        <is>
          <t>Модель-0 ПГ Ash White, полотно для раздвижной системы</t>
        </is>
      </c>
      <c r="C111" s="18" t="inlineStr">
        <is>
          <t>Внутренний код тарифа, не нормативная марка</t>
        </is>
      </c>
      <c r="D111" s="18" t="inlineStr">
        <is>
          <t>Использовать с характеристиками и ID INT-015. Не считать подтверждением ГОСТ, сертификата или полной марки проекта.</t>
        </is>
      </c>
    </row>
    <row r="112" ht="65" customHeight="1" s="19">
      <c r="A112" s="45" t="inlineStr">
        <is>
          <t>ДГ-ГР</t>
        </is>
      </c>
      <c r="B112" s="45" t="inlineStr">
        <is>
          <t>ДОРС ГШП, глухое грунтованное полотно</t>
        </is>
      </c>
      <c r="C112" s="18" t="inlineStr">
        <is>
          <t>Внутренний код тарифа, не нормативная марка</t>
        </is>
      </c>
      <c r="D112" s="18" t="inlineStr">
        <is>
          <t>Использовать с характеристиками и ID INT-016. Не считать подтверждением ГОСТ, сертификата или полной марки проекта.</t>
        </is>
      </c>
    </row>
    <row r="113" ht="65" customHeight="1" s="19">
      <c r="A113" s="45" t="inlineStr">
        <is>
          <t>ДПМ-2-Г-EI30</t>
        </is>
      </c>
      <c r="B113" s="45" t="inlineStr">
        <is>
          <t>ДПМ-2-Г-EI30, глухой двупольный блок, порошок</t>
        </is>
      </c>
      <c r="C113" s="18" t="inlineStr">
        <is>
          <t>Внутренний код тарифа, не нормативная марка</t>
        </is>
      </c>
      <c r="D113" s="18" t="inlineStr">
        <is>
          <t>Использовать с характеристиками и ID MET-007. Не считать подтверждением ГОСТ, сертификата или полной марки проекта.</t>
        </is>
      </c>
    </row>
    <row r="114" ht="65" customHeight="1" s="19">
      <c r="A114" s="45" t="inlineStr">
        <is>
          <t>ДПМ-2-Г-EI60</t>
        </is>
      </c>
      <c r="B114" s="45" t="inlineStr">
        <is>
          <t>ДПМ-2-Г-EI60, глухой двупольный блок, порошок</t>
        </is>
      </c>
      <c r="C114" s="18" t="inlineStr">
        <is>
          <t>Внутренний код тарифа, не нормативная марка</t>
        </is>
      </c>
      <c r="D114" s="18" t="inlineStr">
        <is>
          <t>Использовать с характеристиками и ID MET-008. Не считать подтверждением ГОСТ, сертификата или полной марки проекта.</t>
        </is>
      </c>
    </row>
    <row r="115" ht="65" customHeight="1" s="19">
      <c r="A115" s="45" t="inlineStr">
        <is>
          <t>ДА-1-СП-V60</t>
        </is>
      </c>
      <c r="B115" s="45" t="inlineStr">
        <is>
          <t>ДА-1-СП-V60, алюминиевый блок Vidnal V60</t>
        </is>
      </c>
      <c r="C115" s="18" t="inlineStr">
        <is>
          <t>Внутренний код тарифа, не нормативная марка</t>
        </is>
      </c>
      <c r="D115" s="18" t="inlineStr">
        <is>
          <t>Использовать с характеристиками и ID ALU-001. Не считать подтверждением ГОСТ, сертификата или полной марки проекта.</t>
        </is>
      </c>
    </row>
    <row r="116" ht="65" customHeight="1" s="19">
      <c r="A116" s="45" t="inlineStr">
        <is>
          <t>ДА-2-СП-V60</t>
        </is>
      </c>
      <c r="B116" s="45" t="inlineStr">
        <is>
          <t>ДА-2-СП-V60, алюминиевый блок Vidnal V60</t>
        </is>
      </c>
      <c r="C116" s="18" t="inlineStr">
        <is>
          <t>Внутренний код тарифа, не нормативная марка</t>
        </is>
      </c>
      <c r="D116" s="18" t="inlineStr">
        <is>
          <t>Использовать с характеристиками и ID ALU-002. Не считать подтверждением ГОСТ, сертификата или полной марки проекта.</t>
        </is>
      </c>
    </row>
    <row r="117" ht="65" customHeight="1" s="19">
      <c r="A117" s="45" t="inlineStr">
        <is>
          <t>РМ-60</t>
        </is>
      </c>
      <c r="B117" s="45" t="inlineStr">
        <is>
          <t>ECO SLIDING SET 1, до 60 кг</t>
        </is>
      </c>
      <c r="C117" s="18" t="inlineStr">
        <is>
          <t>Внутренний код фурнитуры/услуги</t>
        </is>
      </c>
      <c r="D117" s="18" t="inlineStr">
        <is>
          <t>Цена и единица по тарифу OPT-001. Надбавка за размер на этот тариф не начисляется.</t>
        </is>
      </c>
    </row>
    <row r="118" ht="65" customHeight="1" s="19">
      <c r="A118" s="45" t="inlineStr">
        <is>
          <t>РК-ВР</t>
        </is>
      </c>
      <c r="B118" s="45" t="inlineStr">
        <is>
          <t>Armadillo SH010 URB SN-3, ручка-купе</t>
        </is>
      </c>
      <c r="C118" s="18" t="inlineStr">
        <is>
          <t>Внутренний код фурнитуры/услуги</t>
        </is>
      </c>
      <c r="D118" s="18" t="inlineStr">
        <is>
          <t>Цена и единица по тарифу OPT-002. Надбавка за размер на этот тариф не начисляется.</t>
        </is>
      </c>
    </row>
    <row r="119" ht="65" customHeight="1" s="19">
      <c r="A119" s="45" t="inlineStr">
        <is>
          <t>ЗВ-КТ-РЦ</t>
        </is>
      </c>
      <c r="B119" s="45" t="inlineStr">
        <is>
          <t>Punto LOCKSET16.CRONA.4070-1 SN</t>
        </is>
      </c>
      <c r="C119" s="18" t="inlineStr">
        <is>
          <t>Внутренний код фурнитуры/услуги</t>
        </is>
      </c>
      <c r="D119" s="18" t="inlineStr">
        <is>
          <t>Цена и единица по тарифу OPT-003. Надбавка за размер на этот тариф не начисляется.</t>
        </is>
      </c>
    </row>
    <row r="120" ht="65" customHeight="1" s="19">
      <c r="A120" s="45" t="inlineStr">
        <is>
          <t>ЗН-КОД</t>
        </is>
      </c>
      <c r="B120" s="45" t="inlineStr">
        <is>
          <t>Ajax RIM-200 code SN, кодовый накладной</t>
        </is>
      </c>
      <c r="C120" s="18" t="inlineStr">
        <is>
          <t>Внутренний код фурнитуры/услуги</t>
        </is>
      </c>
      <c r="D120" s="18" t="inlineStr">
        <is>
          <t>Цена и единица по тарифу OPT-004. Надбавка за размер на этот тариф не начисляется.</t>
        </is>
      </c>
    </row>
    <row r="121" ht="65" customHeight="1" s="19">
      <c r="A121" s="45" t="inlineStr">
        <is>
          <t>ДВЧ-EN3/4-СЕР</t>
        </is>
      </c>
      <c r="B121" s="45" t="inlineStr">
        <is>
          <t>НОРА-М 3S мал., серый, арт. 4997</t>
        </is>
      </c>
      <c r="C121" s="18" t="inlineStr">
        <is>
          <t>Внутренний код фурнитуры/услуги</t>
        </is>
      </c>
      <c r="D121" s="18" t="inlineStr">
        <is>
          <t>Цена и единица по тарифу OPT-005. Надбавка за размер на этот тариф не начисляется.</t>
        </is>
      </c>
    </row>
    <row r="122" ht="65" customHeight="1" s="19">
      <c r="A122" s="45" t="inlineStr">
        <is>
          <t>ПТ-УН</t>
        </is>
      </c>
      <c r="B122" s="45" t="inlineStr">
        <is>
          <t>Петля IN4000U SN 100×70×2</t>
        </is>
      </c>
      <c r="C122" s="18" t="inlineStr">
        <is>
          <t>Внутренний код фурнитуры/услуги</t>
        </is>
      </c>
      <c r="D122" s="18" t="inlineStr">
        <is>
          <t>Цена и единица по тарифу OPT-006. Надбавка за размер на этот тариф не начисляется.</t>
        </is>
      </c>
    </row>
    <row r="123" ht="65" customHeight="1" s="19">
      <c r="A123" s="45" t="inlineStr">
        <is>
          <t>ДПГУЧ</t>
        </is>
      </c>
      <c r="B123" s="45" t="inlineStr">
        <is>
          <t>Обозначение специального полотна из заявки</t>
        </is>
      </c>
      <c r="C123" s="18" t="inlineStr">
        <is>
          <t>Заявка Москва, три этажа</t>
        </is>
      </c>
      <c r="D123" s="18" t="inlineStr">
        <is>
          <t>В заявке указаны обратная четверть, толщина 52 мм и код 45S3K. Требуется отдельный тариф исполнения. Не заменять обычной ДПГ.</t>
        </is>
      </c>
    </row>
    <row r="124" ht="65" customHeight="1" s="19">
      <c r="A124" s="45" t="inlineStr">
        <is>
          <t>УПД</t>
        </is>
      </c>
      <c r="B124" s="45" t="inlineStr">
        <is>
          <t>Сокращение в клиентской спецификации без расшифровки</t>
        </is>
      </c>
      <c r="C124" s="18" t="inlineStr">
        <is>
          <t>Заявка Москва, три этажа</t>
        </is>
      </c>
      <c r="D124" s="18" t="inlineStr">
        <is>
          <t>Сохранять в исходном тексте. Значение и состав подтвердить у клиента/производства. Не придумывать раскрытие.</t>
        </is>
      </c>
    </row>
    <row r="125" ht="65" customHeight="1" s="19">
      <c r="A125" s="45" t="inlineStr">
        <is>
          <t>45S3K</t>
        </is>
      </c>
      <c r="B125" s="45" t="inlineStr">
        <is>
          <t>Код исполнения в клиентской спецификации</t>
        </is>
      </c>
      <c r="C125" s="18" t="inlineStr">
        <is>
          <t>Заявка Москва, три этажа</t>
        </is>
      </c>
      <c r="D125" s="18" t="inlineStr">
        <is>
          <t>Сохранять буквы S/K. Не распознавать цифры 45 как подтверждённые дБ, минуты огнестойкости или толщину.</t>
        </is>
      </c>
    </row>
    <row r="126" ht="65" customHeight="1" s="19">
      <c r="A126" s="45" t="inlineStr">
        <is>
          <t>АКВА 01 ПГ</t>
        </is>
      </c>
      <c r="B126" s="45" t="inlineStr">
        <is>
          <t>Конкретная модель глухого полотна из заявки</t>
        </is>
      </c>
      <c r="C126" s="18" t="inlineStr">
        <is>
          <t>Заявка Москва, три этажа</t>
        </is>
      </c>
      <c r="D126" s="18" t="inlineStr">
        <is>
          <t>Не заменять обычным МДФ под ПВХ. Требуется цена АКВА 01 и подтверждение материала/влагостойкости.</t>
        </is>
      </c>
    </row>
    <row r="127" ht="65" customHeight="1" s="19">
      <c r="A127" s="45" t="inlineStr">
        <is>
          <t>кл/зв / ключ-завертка</t>
        </is>
      </c>
      <c r="B127" s="45" t="inlineStr">
        <is>
          <t>Способ запирания: ключ снаружи, завертка изнутри</t>
        </is>
      </c>
      <c r="C127" s="18" t="inlineStr">
        <is>
          <t>Заявка Москва, три этажа</t>
        </is>
      </c>
      <c r="D127" s="18" t="inlineStr">
        <is>
          <t>Не заменять ключ/ключ и не смешивать с направлением открывания.</t>
        </is>
      </c>
    </row>
    <row r="128" ht="65" customHeight="1" s="19">
      <c r="A128" s="45" t="inlineStr">
        <is>
          <t>обратная четверть 10×12</t>
        </is>
      </c>
      <c r="B128" s="45" t="inlineStr">
        <is>
          <t>Заданный профиль притвора с трёх сторон</t>
        </is>
      </c>
      <c r="C128" s="18" t="inlineStr">
        <is>
          <t>Заявка Москва, три этажа</t>
        </is>
      </c>
      <c r="D128" s="18" t="inlineStr">
        <is>
          <t>Геометрию профиля и толщину учитывать отдельно от ширины/высоты. Не вычитать 10/12 мм автоматически из размера полотна.</t>
        </is>
      </c>
    </row>
    <row r="129" ht="65" customHeight="1" s="19">
      <c r="A129" s="45" t="inlineStr">
        <is>
          <t>окут / окутанное</t>
        </is>
      </c>
      <c r="B129" s="45" t="inlineStr">
        <is>
          <t>Обозначение окутанного покрытия в заявке</t>
        </is>
      </c>
      <c r="C129" s="18" t="inlineStr">
        <is>
          <t>Заявка Москва, три этажа</t>
        </is>
      </c>
      <c r="D129" s="18" t="inlineStr">
        <is>
          <t>Сохранять указанный цвет и материал покрытия. Кромка ПВХ отдельно не подтверждает покрытие всего полотна ПВХ.</t>
        </is>
      </c>
    </row>
    <row r="130" ht="65" customHeight="1" s="19">
      <c r="A130" s="45" t="inlineStr">
        <is>
          <t>ДПК</t>
        </is>
      </c>
      <c r="B130" s="45" t="inlineStr">
        <is>
          <t>Древесно-полимерный композит</t>
        </is>
      </c>
      <c r="C130" s="18" t="inlineStr">
        <is>
          <t>Заявка Москва, три этажа</t>
        </is>
      </c>
      <c r="D130" s="18" t="inlineStr">
        <is>
          <t>Не подменять МДФ; для погонажа сопоставлять материал, профиль, сечение и длину.</t>
        </is>
      </c>
    </row>
    <row r="131" ht="65" customHeight="1" s="19">
      <c r="A131" s="45" t="inlineStr">
        <is>
          <t>паз-паз / шип-паз</t>
        </is>
      </c>
      <c r="B131" s="45" t="inlineStr">
        <is>
          <t>Исполнение соединения добора</t>
        </is>
      </c>
      <c r="C131" s="18" t="inlineStr">
        <is>
          <t>Заявка Москва, три этажа</t>
        </is>
      </c>
      <c r="D131" s="18" t="inlineStr">
        <is>
          <t>Сопоставлять точный профиль, материал, толщину, ширину и длину детали.</t>
        </is>
      </c>
    </row>
    <row r="132" ht="65" customHeight="1" s="19">
      <c r="A132" s="45" t="inlineStr">
        <is>
          <t>Дб-1 / Дб-2 / Дб-8 / Дб-9</t>
        </is>
      </c>
      <c r="B132" s="45" t="inlineStr">
        <is>
          <t>Проектные марки дверей</t>
        </is>
      </c>
      <c r="C132" s="18" t="inlineStr">
        <is>
          <t>Заявка Москва, три этажа</t>
        </is>
      </c>
      <c r="D132" s="18" t="inlineStr">
        <is>
          <t>Сохранять марку и этаж. Не считать обозначением производителя или автоматическим синонимом модели прайса.</t>
        </is>
      </c>
    </row>
    <row r="133" ht="65" customHeight="1" s="19">
      <c r="A133" s="45" t="inlineStr">
        <is>
          <t>сота / сотовое заполнение</t>
        </is>
      </c>
      <c r="B133" s="45" t="inlineStr">
        <is>
          <t>Требование к внутреннему заполнению полотна</t>
        </is>
      </c>
      <c r="C133" s="18" t="inlineStr">
        <is>
          <t>Заявка Москва, три этажа</t>
        </is>
      </c>
      <c r="D133" s="18" t="inlineStr">
        <is>
          <t>Совпадение слов ДПГ или ПВХ не подтверждает сотовое заполнение и заданную толщину.</t>
        </is>
      </c>
    </row>
    <row r="134" ht="65" customHeight="1" s="19">
      <c r="A134" s="45" t="inlineStr">
        <is>
          <t>ТЕЛЕСКОП</t>
        </is>
      </c>
      <c r="B134" s="45" t="inlineStr">
        <is>
          <t>Телескопическое исполнение погонажа</t>
        </is>
      </c>
      <c r="C134" s="18" t="inlineStr">
        <is>
          <t>Заявка Москва, три этажа</t>
        </is>
      </c>
      <c r="D134" s="18" t="inlineStr">
        <is>
          <t>Сохранять сечение, материал, длину и единицу продажи. Цена комплекта не является ценой одной стойки.</t>
        </is>
      </c>
    </row>
    <row r="135" ht="75" customHeight="1" s="19">
      <c r="A135" s="45" t="inlineStr">
        <is>
          <t>ДС-1-Г-ВЛ-ПВХ</t>
        </is>
      </c>
      <c r="B135" s="45" t="inlineStr">
        <is>
          <t>Внутренний код базового влагостойкого санузлового блока INT-017</t>
        </is>
      </c>
      <c r="C135" s="18" t="inlineStr">
        <is>
          <t>Предложенный вариант по рабочему прайсу</t>
        </is>
      </c>
      <c r="D135" s="18" t="inlineStr">
        <is>
          <t>Применять только к однопольной глухой ДС без явно противоречащей отделки или специальных требований. Белый ПВХ и выбранная фурнитура указываются в предварительном КП.</t>
        </is>
      </c>
    </row>
    <row r="136" ht="75" customHeight="1" s="19">
      <c r="A136" s="45" t="inlineStr">
        <is>
          <t>ЛБ в марке ДС</t>
        </is>
      </c>
      <c r="B136" s="45" t="inlineStr">
        <is>
          <t>Неоднозначное сокращение из клиентского письма</t>
        </is>
      </c>
      <c r="C136" s="18" t="inlineStr">
        <is>
          <t>ДС 1 Рп 21-7 Г ЛБ</t>
        </is>
      </c>
      <c r="D136" s="18" t="inlineStr">
        <is>
          <t>Не превращать в ламинацию, белый лак или отсутствие порога. Сохранить обозначение; предварительно предложить базовый белый блок с обычным порогом и явно указать необходимость согласовать ЛБ.</t>
        </is>
      </c>
    </row>
    <row r="137" ht="75" customHeight="1" s="19">
      <c r="A137" s="45" t="inlineStr">
        <is>
          <t>700/800/900×2100, ДС</t>
        </is>
      </c>
      <c r="B137" s="45" t="inlineStr">
        <is>
          <t>Стандартные заказные типоразмеры санузлового блока по проёму</t>
        </is>
      </c>
      <c r="C137" s="18" t="inlineStr">
        <is>
          <t>Размерная сетка INT-017, подтверждённая владельцем</t>
        </is>
      </c>
      <c r="D137" s="18" t="inlineStr">
        <is>
          <t>Надбавка 0%. Не считать высоту 2100 увеличением полотна 2000. Это не новая универсальная сетка всех моделей.</t>
        </is>
      </c>
    </row>
    <row r="138" ht="75" customHeight="1" s="19">
      <c r="A138" s="45" t="inlineStr">
        <is>
          <t>Пр в марке ДС</t>
        </is>
      </c>
      <c r="B138" s="45" t="inlineStr">
        <is>
          <t>Обычный порог</t>
        </is>
      </c>
      <c r="C138" s="18" t="inlineStr">
        <is>
          <t>ГОСТ 475-2016</t>
        </is>
      </c>
      <c r="D138" s="18" t="inlineStr">
        <is>
          <t>Добавить компонент threshold. ПрБ исключает его, По требует отдельного тарифа опускающегося порога. Пр не означает грунтовку.</t>
        </is>
      </c>
    </row>
    <row r="139" ht="75" customHeight="1" s="19">
      <c r="A139" s="45" t="inlineStr">
        <is>
          <t>КТ-ФРН-ДГ1</t>
        </is>
      </c>
      <c r="B139" s="45" t="inlineStr">
        <is>
          <t>Комплект фурнитуры OPT-007 для INT-017</t>
        </is>
      </c>
      <c r="C139" s="18" t="inlineStr">
        <is>
          <t>Отдельная цена за один комплект на блок</t>
        </is>
      </c>
      <c r="D139" s="18" t="inlineStr">
        <is>
          <t>2780 руб.: замок, ручки, петли, цилиндр ключ/ключ. Не добавлять ручки или цилиндр второй раз; надбавку за размер не начислять.</t>
        </is>
      </c>
    </row>
    <row r="140" ht="95" customHeight="1" s="19">
      <c r="A140" s="30" t="inlineStr">
        <is>
          <t>ДМ 1 21×8/21×9 Г ПрБ Мд1</t>
        </is>
      </c>
      <c r="B140" s="30" t="inlineStr">
        <is>
          <t>Межкомнатный глухой однопольный блок, без порога, с требованием Мд1</t>
        </is>
      </c>
      <c r="C140" s="30" t="inlineStr">
        <is>
          <t>Марка деревянного блока из письма 686</t>
        </is>
      </c>
      <c r="D140" s="30" t="inlineStr">
        <is>
          <t>Контекст ГОСТ 475 и МДФ. Не выбирать стальную ДМ-1 по совпадению букв; размеры в марке относятся к проёму.</t>
        </is>
      </c>
    </row>
    <row r="141" ht="95" customHeight="1" s="19">
      <c r="A141" s="30" t="inlineStr">
        <is>
          <t>Мд1</t>
        </is>
      </c>
      <c r="B141" s="30" t="inlineStr">
        <is>
          <t>Требование класса прочности деревянного/комбинированного блока</t>
        </is>
      </c>
      <c r="C141" s="30" t="inlineStr">
        <is>
          <t>Техническое требование письма</t>
        </is>
      </c>
      <c r="D141" s="30" t="inlineStr">
        <is>
          <t>Не считать обозначение названием модели. Требование передавать в requirements.technical.mechanical_class; если модель не подтверждает класс, нужен ответ производства.</t>
        </is>
      </c>
    </row>
    <row r="142" ht="95" customHeight="1" s="19">
      <c r="A142" s="30" t="inlineStr">
        <is>
          <t>ДПСО 01 / ДПСО 02</t>
        </is>
      </c>
      <c r="B142" s="30" t="inlineStr">
        <is>
          <t>Проектные марки стального противопожарного остеклённого блока</t>
        </is>
      </c>
      <c r="C142" s="30" t="inlineStr">
        <is>
          <t>Письмо 686</t>
        </is>
      </c>
      <c r="D142" s="30" t="inlineStr">
        <is>
          <t>В этом письме 01 — однопольная, 02 — двупольная, что подтверждено полным текстом. По одному коду без текста не угадывать.</t>
        </is>
      </c>
    </row>
    <row r="143" ht="95" customHeight="1" s="19">
      <c r="A143" s="30" t="inlineStr">
        <is>
          <t>СМ4 в стекле</t>
        </is>
      </c>
      <c r="B143" s="30" t="inlineStr">
        <is>
          <t>Отдельное требование к защитному стеклу по указанному клиентом ГОСТ</t>
        </is>
      </c>
      <c r="C143" s="30" t="inlineStr">
        <is>
          <t>Противопожарное остекление</t>
        </is>
      </c>
      <c r="D143" s="30" t="inlineStr">
        <is>
          <t>Сохранять исходное обозначение. EIW30/EIW60 и СМ4 проверяются отдельно; цену и документы на СМ4 не додумывать.</t>
        </is>
      </c>
    </row>
    <row r="144" ht="95" customHeight="1" s="19">
      <c r="A144" s="30" t="inlineStr">
        <is>
          <t>самозаплавляющаяся вентиляция</t>
        </is>
      </c>
      <c r="B144" s="30" t="inlineStr">
        <is>
          <t>Вентиляционный узел с интумесцентным заполнением</t>
        </is>
      </c>
      <c r="C144" s="30" t="inlineStr">
        <is>
          <t>Противопожарная дверь</t>
        </is>
      </c>
      <c r="D144" s="30" t="inlineStr">
        <is>
          <t>Обычная вентиляционная решётка не заменяет такой узел. Вкладыш без жалюзи и заводской обработки не образует комплект.</t>
        </is>
      </c>
    </row>
    <row r="145" ht="95" customHeight="1" s="19">
      <c r="A145" s="30" t="inlineStr">
        <is>
          <t>фрамуга в противопожарной двери</t>
        </is>
      </c>
      <c r="B145" s="30" t="inlineStr">
        <is>
          <t>Отдельная часть заводского противопожарного блока</t>
        </is>
      </c>
      <c r="C145" s="30" t="inlineStr">
        <is>
          <t>Конструкция</t>
        </is>
      </c>
      <c r="D145" s="30" t="inlineStr">
        <is>
          <t>Нужны цена требуемого исполнения, размеры, заполнение и документы. Наценка за высоту не создаёт фрамугу.</t>
        </is>
      </c>
    </row>
    <row r="146" ht="95" customHeight="1" s="19">
      <c r="A146" s="30" t="inlineStr">
        <is>
          <t>СИАЛ или аналог</t>
        </is>
      </c>
      <c r="B146" s="30" t="inlineStr">
        <is>
          <t>Профиль, допускающий согласованный эквивалент</t>
        </is>
      </c>
      <c r="C146" s="30" t="inlineStr">
        <is>
          <t>Алюминиевые блоки</t>
        </is>
      </c>
      <c r="D146" s="30" t="inlineStr">
        <is>
          <t>Vidnal/Alutech не объявлять эквивалентом автоматически. Проверить теплотехнику, заполнение, размеры и комплект.</t>
        </is>
      </c>
    </row>
    <row r="147" ht="95" customHeight="1" s="19">
      <c r="A147" s="30" t="inlineStr">
        <is>
          <t>равнопольная алюминиевая дверь</t>
        </is>
      </c>
      <c r="B147" s="30" t="inlineStr">
        <is>
          <t>Двупольный блок с равными створками</t>
        </is>
      </c>
      <c r="C147" s="30" t="inlineStr">
        <is>
          <t>Алюминиевые блоки</t>
        </is>
      </c>
      <c r="D147" s="30" t="inlineStr">
        <is>
          <t>Цена полуторного блока не подтверждает равнопольную компоновку. Характеристика equal_leaves требует подтверждения.</t>
        </is>
      </c>
    </row>
    <row r="148" ht="95" customHeight="1" s="19">
      <c r="A148" s="30" t="inlineStr">
        <is>
          <t>СПО40 в письме 686</t>
        </is>
      </c>
      <c r="B148" s="30" t="inlineStr">
        <is>
          <t>Исходное обозначение при одновременно указанном двухкамерном стеклопакете</t>
        </is>
      </c>
      <c r="C148" s="30" t="inlineStr">
        <is>
          <t>Противоречие исходной спецификации</t>
        </is>
      </c>
      <c r="D148" s="30" t="inlineStr">
        <is>
          <t>Не исправлять молча. Сохранить текст, формулу 6М1зак-12-4М1-12-6Изак и запросить согласование обозначения.</t>
        </is>
      </c>
    </row>
    <row r="149" ht="95" customHeight="1" s="19">
      <c r="A149" s="30" t="inlineStr">
        <is>
          <t>У в марке ДПС</t>
        </is>
      </c>
      <c r="B149" s="30" t="inlineStr">
        <is>
          <t>В этой заявке утепление прямо подтверждено текстом</t>
        </is>
      </c>
      <c r="C149" s="30" t="inlineStr">
        <is>
          <t>Контекстное сокращение</t>
        </is>
      </c>
      <c r="D149" s="30" t="inlineStr">
        <is>
          <t>Не выводить тип утеплителя по одной букве. Полное описание и технические данные модели имеют приоритет.</t>
        </is>
      </c>
    </row>
    <row r="150" ht="95" customHeight="1" s="19">
      <c r="A150" s="30" t="inlineStr">
        <is>
          <t>МДФ, наличники МДФ, доборы</t>
        </is>
      </c>
      <c r="B150" s="30" t="inlineStr">
        <is>
          <t>Требование к материалу и составу поставки</t>
        </is>
      </c>
      <c r="C150" s="30" t="inlineStr">
        <is>
          <t>Комплектация</t>
        </is>
      </c>
      <c r="D150" s="30" t="inlineStr">
        <is>
          <t>Композитный санузловой ПВХ блок INT-017 не является автоматической заменой МДФ. Нужны цены погонажа, его количество и ширина.</t>
        </is>
      </c>
    </row>
    <row r="151" ht="95" customHeight="1" s="19">
      <c r="A151" s="30" t="inlineStr">
        <is>
          <t>номинальный и фактический размеры</t>
        </is>
      </c>
      <c r="B151" s="30" t="inlineStr">
        <is>
          <t>Разные наборы размеров в марке и описании</t>
        </is>
      </c>
      <c r="C151" s="30" t="inlineStr">
        <is>
          <t>Размеры письма 686</t>
        </is>
      </c>
      <c r="D151" s="30" t="inlineStr">
        <is>
          <t>Сохранять оба. 2400×1400 в марке и 1350×2375 в тексте не сравнивать как изменение одной размерной базы. 2100×900 и 1050×2075 требуют отдельного уточнения.</t>
        </is>
      </c>
    </row>
    <row r="152" ht="95" customHeight="1" s="19">
      <c r="A152" s="30" t="inlineStr">
        <is>
          <t>ДМ-1-Г-МДФ-PP-ТЕХНО</t>
        </is>
      </c>
      <c r="B152" s="30" t="inlineStr">
        <is>
          <t>Верда Техно ДГ Белый, МДФ в полипропилене</t>
        </is>
      </c>
      <c r="C152" s="30" t="inlineStr">
        <is>
          <t>Внутренний смысловой код тарифа</t>
        </is>
      </c>
      <c r="D152" s="30" t="inlineStr">
        <is>
          <t>Цена и состав по INT-018. Код не является сертификатом и не доказывает полную проектную марку.</t>
        </is>
      </c>
    </row>
    <row r="153" ht="95" customHeight="1" s="19">
      <c r="A153" s="30" t="inlineStr">
        <is>
          <t>ДПСО-1-О-EIW60-Н195</t>
        </is>
      </c>
      <c r="B153" s="30" t="inlineStr">
        <is>
          <t>ДПСО-1-EIW60, остеклённый стальной блок Н195</t>
        </is>
      </c>
      <c r="C153" s="30" t="inlineStr">
        <is>
          <t>Внутренний смысловой код тарифа</t>
        </is>
      </c>
      <c r="D153" s="30" t="inlineStr">
        <is>
          <t>Цена и состав по MET-009. Код не является сертификатом и не доказывает полную проектную марку.</t>
        </is>
      </c>
    </row>
    <row r="154" ht="95" customHeight="1" s="19">
      <c r="A154" s="30" t="inlineStr">
        <is>
          <t>ДПСО-1-Ф-EIW60-Н371</t>
        </is>
      </c>
      <c r="B154" s="30" t="inlineStr">
        <is>
          <t>ДПСО-1-Ф-EIW60, остеклённый стальной блок с фрамугой Н371</t>
        </is>
      </c>
      <c r="C154" s="30" t="inlineStr">
        <is>
          <t>Внутренний смысловой код тарифа</t>
        </is>
      </c>
      <c r="D154" s="30" t="inlineStr">
        <is>
          <t>Цена и состав по MET-010. Код не является сертификатом и не доказывает полную проектную марку.</t>
        </is>
      </c>
    </row>
    <row r="155" ht="95" customHeight="1" s="19">
      <c r="A155" s="30" t="inlineStr">
        <is>
          <t>ДПСО-2-О-EIW30-001C</t>
        </is>
      </c>
      <c r="B155" s="30" t="inlineStr">
        <is>
          <t>ДПСО-2-001C, стальной остеклённый двупольный EIW30</t>
        </is>
      </c>
      <c r="C155" s="30" t="inlineStr">
        <is>
          <t>Внутренний смысловой код тарифа</t>
        </is>
      </c>
      <c r="D155" s="30" t="inlineStr">
        <is>
          <t>Цена и состав по MET-011. Код не является сертификатом и не доказывает полную проектную марку.</t>
        </is>
      </c>
    </row>
    <row r="156" ht="95" customHeight="1" s="19">
      <c r="A156" s="30" t="inlineStr">
        <is>
          <t>ДПС-1-Г-СВ-EI60-PD195</t>
        </is>
      </c>
      <c r="B156" s="30" t="inlineStr">
        <is>
          <t>ДПС-1-Г-СВ-EI60, блок с самозаплавляющейся вентиляцией pd195</t>
        </is>
      </c>
      <c r="C156" s="30" t="inlineStr">
        <is>
          <t>Внутренний смысловой код тарифа</t>
        </is>
      </c>
      <c r="D156" s="30" t="inlineStr">
        <is>
          <t>Цена и состав по MET-012. Код не является сертификатом и не доказывает полную проектную марку.</t>
        </is>
      </c>
    </row>
    <row r="157" ht="95" customHeight="1" s="19">
      <c r="A157" s="30" t="inlineStr">
        <is>
          <t>ДПС-2-Г-У-EI60-КЛИН</t>
        </is>
      </c>
      <c r="B157" s="30" t="inlineStr">
        <is>
          <t>ДПС-2-Г-У-EI60, утеплённый двупольный блок Клин</t>
        </is>
      </c>
      <c r="C157" s="30" t="inlineStr">
        <is>
          <t>Внутренний смысловой код тарифа</t>
        </is>
      </c>
      <c r="D157" s="30" t="inlineStr">
        <is>
          <t>Цена и состав по MET-013. Код не является сертификатом и не доказывает полную проектную марку.</t>
        </is>
      </c>
    </row>
    <row r="158" ht="95" customHeight="1" s="19">
      <c r="A158" s="30" t="inlineStr">
        <is>
          <t>ДА-1-О-Т-СИАЛ-СПД32</t>
        </is>
      </c>
      <c r="B158" s="30" t="inlineStr">
        <is>
          <t>ДА-1-СПД32-КПТ74, тёплый блок СИАЛ</t>
        </is>
      </c>
      <c r="C158" s="30" t="inlineStr">
        <is>
          <t>Внутренний смысловой код тарифа</t>
        </is>
      </c>
      <c r="D158" s="30" t="inlineStr">
        <is>
          <t>Цена и состав по ALU-003. Код не является сертификатом и не доказывает полную проектную марку.</t>
        </is>
      </c>
    </row>
    <row r="159" ht="95" customHeight="1" s="19">
      <c r="A159" s="30" t="inlineStr">
        <is>
          <t>ДА-2-О-Т-СИАЛ-СПД32</t>
        </is>
      </c>
      <c r="B159" s="30" t="inlineStr">
        <is>
          <t>ДА-2-СПД32-КПТ74, тёплый двупольный блок СИАЛ</t>
        </is>
      </c>
      <c r="C159" s="30" t="inlineStr">
        <is>
          <t>Внутренний смысловой код тарифа</t>
        </is>
      </c>
      <c r="D159" s="30" t="inlineStr">
        <is>
          <t>Цена и состав по ALU-004. Код не является сертификатом и не доказывает полную проектную марку.</t>
        </is>
      </c>
    </row>
    <row r="160" ht="95" customHeight="1" s="19">
      <c r="A160" s="30" t="inlineStr">
        <is>
          <t>ДА-2-О-Ф-ALUTECH-W62</t>
        </is>
      </c>
      <c r="B160" s="30" t="inlineStr">
        <is>
          <t>ДА-2-Ф-W62, алюминиевый блок Alutech с фрамугой</t>
        </is>
      </c>
      <c r="C160" s="30" t="inlineStr">
        <is>
          <t>Внутренний смысловой код тарифа</t>
        </is>
      </c>
      <c r="D160" s="30" t="inlineStr">
        <is>
          <t>Цена и состав по ALU-005. Код не является сертификатом и не доказывает полную проектную марку.</t>
        </is>
      </c>
    </row>
    <row r="161" ht="95" customHeight="1" s="19">
      <c r="A161" s="30" t="inlineStr">
        <is>
          <t>ДА-1-Г-Т-VIDNAL-V60</t>
        </is>
      </c>
      <c r="B161" s="30" t="inlineStr">
        <is>
          <t>ДА-1-Г-Т-V60, тёплый глухой блок Vidnal</t>
        </is>
      </c>
      <c r="C161" s="30" t="inlineStr">
        <is>
          <t>Внутренний смысловой код тарифа</t>
        </is>
      </c>
      <c r="D161" s="30" t="inlineStr">
        <is>
          <t>Цена и состав по ALU-006. Код не является сертификатом и не доказывает полную проектную марку.</t>
        </is>
      </c>
    </row>
    <row r="162" ht="95" customHeight="1" s="19">
      <c r="A162" s="30" t="inlineStr">
        <is>
          <t>ВР-СЗ-100-FIREFIX</t>
        </is>
      </c>
      <c r="B162" s="30" t="inlineStr">
        <is>
          <t>FIREFIX, огнестойкий вентиляционный вкладыш 100×100×40</t>
        </is>
      </c>
      <c r="C162" s="30" t="inlineStr">
        <is>
          <t>Внутренний код дополнения</t>
        </is>
      </c>
      <c r="D162" s="30" t="inlineStr">
        <is>
          <t>Использовать тариф OPT-008. Пустая цена означает отсутствие тарифа; не считать её нулём.</t>
        </is>
      </c>
    </row>
    <row r="163" ht="95" customHeight="1" s="19">
      <c r="A163" s="30" t="inlineStr">
        <is>
          <t>СВ-ЗАВОД-УЗЕЛ</t>
        </is>
      </c>
      <c r="B163" s="30" t="inlineStr">
        <is>
          <t>Заводской узел самозаплавляющейся вентиляции: жалюзи, вырез, усиление, сборка</t>
        </is>
      </c>
      <c r="C163" s="30" t="inlineStr">
        <is>
          <t>Внутренний код дополнения</t>
        </is>
      </c>
      <c r="D163" s="30" t="inlineStr">
        <is>
          <t>Использовать тариф OPT-009. Пустая цена означает отсутствие тарифа; не считать её нулём.</t>
        </is>
      </c>
    </row>
    <row r="164" ht="95" customHeight="1" s="19">
      <c r="A164" s="30" t="inlineStr">
        <is>
          <t>СТ-СМ4-ПП</t>
        </is>
      </c>
      <c r="B164" s="30" t="inlineStr">
        <is>
          <t>Стекло СМ4 в противопожарном блоке, подтверждение и изменение комплектации</t>
        </is>
      </c>
      <c r="C164" s="30" t="inlineStr">
        <is>
          <t>Внутренний код дополнения</t>
        </is>
      </c>
      <c r="D164" s="30" t="inlineStr">
        <is>
          <t>Использовать тариф OPT-010. Пустая цена означает отсутствие тарифа; не считать её нулём.</t>
        </is>
      </c>
    </row>
    <row r="165" ht="95" customHeight="1" s="19">
      <c r="A165" s="30" t="inlineStr">
        <is>
          <t>ДПСО-2-Ф-50-EIW30</t>
        </is>
      </c>
      <c r="B165" s="30" t="inlineStr">
        <is>
          <t>EIW30: остекление до 50% и фрамуга вместо базового исполнения до 25%</t>
        </is>
      </c>
      <c r="C165" s="30" t="inlineStr">
        <is>
          <t>Внутренний код дополнения</t>
        </is>
      </c>
      <c r="D165" s="30" t="inlineStr">
        <is>
          <t>Использовать тариф OPT-011. Пустая цена означает отсутствие тарифа; не считать её нулём.</t>
        </is>
      </c>
    </row>
    <row r="166" ht="95" customHeight="1" s="19">
      <c r="A166" s="30" t="inlineStr">
        <is>
          <t>СПД40-6ЗАК-12-4-12-6ИЗАК</t>
        </is>
      </c>
      <c r="B166" s="30" t="inlineStr">
        <is>
          <t>СПД40 6М1зак-12-4М1-12-6Изак для алюминиевой двери</t>
        </is>
      </c>
      <c r="C166" s="30" t="inlineStr">
        <is>
          <t>Внутренний код дополнения</t>
        </is>
      </c>
      <c r="D166" s="30" t="inlineStr">
        <is>
          <t>Использовать тариф OPT-012. Пустая цена означает отсутствие тарифа; не считать её нулём.</t>
        </is>
      </c>
    </row>
    <row r="167" ht="95" customHeight="1" s="19">
      <c r="A167" s="30" t="inlineStr">
        <is>
          <t>АЛ-RAL7024</t>
        </is>
      </c>
      <c r="B167" s="30" t="inlineStr">
        <is>
          <t>RAL 7024 для алюминиевого блока вместо базового белого</t>
        </is>
      </c>
      <c r="C167" s="30" t="inlineStr">
        <is>
          <t>Внутренний код дополнения</t>
        </is>
      </c>
      <c r="D167" s="30" t="inlineStr">
        <is>
          <t>Использовать тариф OPT-013. Пустая цена означает отсутствие тарифа; не считать её нулём.</t>
        </is>
      </c>
    </row>
    <row r="168" ht="95" customHeight="1" s="19">
      <c r="A168" s="30" t="inlineStr">
        <is>
          <t>АЛ-ФРАМУГА-ЗАВОД</t>
        </is>
      </c>
      <c r="B168" s="30" t="inlineStr">
        <is>
          <t>Фрамуга алюминиевого блока СИАЛ: изготовление и заполнение</t>
        </is>
      </c>
      <c r="C168" s="30" t="inlineStr">
        <is>
          <t>Внутренний код дополнения</t>
        </is>
      </c>
      <c r="D168" s="30" t="inlineStr">
        <is>
          <t>Использовать тариф OPT-014. Пустая цена означает отсутствие тарифа; не считать её нулём.</t>
        </is>
      </c>
    </row>
    <row r="169" ht="95" customHeight="1" s="19">
      <c r="A169" s="30" t="inlineStr">
        <is>
          <t>АЛ-ФРН-КОМПЛЕКТ</t>
        </is>
      </c>
      <c r="B169" s="30" t="inlineStr">
        <is>
          <t>Алюминиевый блок: порог, шпингалеты, координатор и доводчики по проекту</t>
        </is>
      </c>
      <c r="C169" s="30" t="inlineStr">
        <is>
          <t>Внутренний код дополнения</t>
        </is>
      </c>
      <c r="D169" s="30" t="inlineStr">
        <is>
          <t>Использовать тариф OPT-015. Пустая цена означает отсутствие тарифа; не считать её нулём.</t>
        </is>
      </c>
    </row>
    <row r="170" ht="95" customHeight="1" s="19">
      <c r="A170" s="30" t="inlineStr">
        <is>
          <t>АЛ-Г-ИМПОСТ-КЛЗВ</t>
        </is>
      </c>
      <c r="B170" s="30" t="inlineStr">
        <is>
          <t>Алюминиевый блок: импост и замок ключ/завёртка</t>
        </is>
      </c>
      <c r="C170" s="30" t="inlineStr">
        <is>
          <t>Внутренний код дополнения</t>
        </is>
      </c>
      <c r="D170" s="30" t="inlineStr">
        <is>
          <t>Использовать тариф OPT-016. Пустая цена означает отсутствие тарифа; не считать её нулём.</t>
        </is>
      </c>
    </row>
    <row r="171" ht="95" customHeight="1" s="19">
      <c r="A171" s="30" t="inlineStr">
        <is>
          <t>ДС-МДФ-ВЛ-ПР</t>
        </is>
      </c>
      <c r="B171" s="30" t="inlineStr">
        <is>
          <t>Санузловой МДФ: влагостойкое исполнение и порог</t>
        </is>
      </c>
      <c r="C171" s="30" t="inlineStr">
        <is>
          <t>Внутренний код дополнения</t>
        </is>
      </c>
      <c r="D171" s="30" t="inlineStr">
        <is>
          <t>Использовать тариф OPT-017. Пустая цена означает отсутствие тарифа; не считать её нулём.</t>
        </is>
      </c>
    </row>
    <row r="172" ht="95" customHeight="1" s="19">
      <c r="A172" s="30" t="inlineStr">
        <is>
          <t>предварительная смета</t>
        </is>
      </c>
      <c r="B172" s="30" t="inlineStr">
        <is>
          <t>Расчёт выбранной предложенной комплектации с явными допущениями</t>
        </is>
      </c>
      <c r="C172" s="30" t="inlineStr">
        <is>
          <t>Коммерческий режим</t>
        </is>
      </c>
      <c r="D172" s="30" t="inlineStr">
        <is>
          <t>Использовать runtime/estimate.py и профиль сметы. Не выдавать за подтверждённую заводскую оферту.</t>
        </is>
      </c>
    </row>
    <row r="173" ht="95" customHeight="1" s="19">
      <c r="A173" s="30" t="inlineStr">
        <is>
          <t>СМ4 резерв замены</t>
        </is>
      </c>
      <c r="B173" s="30" t="inlineStr">
        <is>
          <t>Полная стоимость нового защитного стекла в бюджетном расчёте</t>
        </is>
      </c>
      <c r="C173" s="30" t="inlineStr">
        <is>
          <t>Остекление</t>
        </is>
      </c>
      <c r="D173" s="30" t="inlineStr">
        <is>
          <t>Это не доплата за класс стекла. Цена штатного стекла не вычиталась; указывать резерв и основания площади.</t>
        </is>
      </c>
    </row>
    <row r="174" ht="95" customHeight="1" s="19">
      <c r="A174" s="30" t="inlineStr">
        <is>
          <t>СПД40 6М1зак-12-4М1-12-6Изак</t>
        </is>
      </c>
      <c r="B174" s="30" t="inlineStr">
        <is>
          <t>Три стекла, две камеры, толщина 40 мм</t>
        </is>
      </c>
      <c r="C174" s="30" t="inlineStr">
        <is>
          <t>Смета алюминия</t>
        </is>
      </c>
      <c r="D174" s="30" t="inlineStr">
        <is>
          <t>Сумма толщин 6+12+4+12+6=40. Сохранить исходное СПО40 как противоречие; принять СПД40 только как сметное допущение.</t>
        </is>
      </c>
    </row>
    <row r="175" ht="95" customHeight="1" s="19">
      <c r="A175" s="30" t="inlineStr">
        <is>
          <t>фрамуга 300 мм в смете</t>
        </is>
      </c>
      <c r="B175" s="30" t="inlineStr">
        <is>
          <t>Предложенная высота верхней секции для расчёта</t>
        </is>
      </c>
      <c r="C175" s="30" t="inlineStr">
        <is>
          <t>Допущение</t>
        </is>
      </c>
      <c r="D175" s="30" t="inlineStr">
        <is>
          <t>Это не извлечённый из письма размер и не подтверждённый рабочий чертёж.</t>
        </is>
      </c>
    </row>
    <row r="176" ht="95" customHeight="1" s="19">
      <c r="A176" s="30" t="inlineStr">
        <is>
          <t>СИАЛ или аналог</t>
        </is>
      </c>
      <c r="B176" s="30" t="inlineStr">
        <is>
          <t>Допустимость предложенного другого профиля</t>
        </is>
      </c>
      <c r="C176" s="30" t="inlineStr">
        <is>
          <t>Профиль</t>
        </is>
      </c>
      <c r="D176" s="30" t="inlineStr">
        <is>
          <t>Сохранить условие клиента. Аналог не переименовывать в СИАЛ; подтвердить эквивалентность.</t>
        </is>
      </c>
    </row>
    <row r="177" ht="95" customHeight="1" s="19">
      <c r="A177" s="30" t="inlineStr">
        <is>
          <t>неактивный тариф</t>
        </is>
      </c>
      <c r="B177" s="30" t="inlineStr">
        <is>
          <t>Старый составной запрос без точной отдельной цены</t>
        </is>
      </c>
      <c r="C177" s="30" t="inlineStr">
        <is>
          <t>Совместимость</t>
        </is>
      </c>
      <c r="D177" s="30" t="inlineStr">
        <is>
          <t>active=false не выбирать. Не подставлять ноль; смету считать по новому профилю с явно оценёнными частями.</t>
        </is>
      </c>
    </row>
    <row r="178" ht="95" customHeight="1" s="19">
      <c r="A178" s="30" t="inlineStr">
        <is>
          <t>номинальный заказной размер</t>
        </is>
      </c>
      <c r="B178" s="30" t="inlineStr">
        <is>
          <t>Размер марки для выбора ценового типоразмера</t>
        </is>
      </c>
      <c r="C178" s="30" t="inlineStr">
        <is>
          <t>Геометрия</t>
        </is>
      </c>
      <c r="D178" s="30" t="inlineStr">
        <is>
          <t>Не считать его фактическим полотном или коробкой. Не переносить правила одной модели на другую.</t>
        </is>
      </c>
    </row>
    <row r="179" ht="95" customHeight="1" s="19">
      <c r="A179" s="30" t="inlineStr">
        <is>
          <t>резерв на полную замену стекла</t>
        </is>
      </c>
      <c r="B179" s="30" t="inlineStr">
        <is>
          <t>Бюджет нового остекления без зачёта штатного</t>
        </is>
      </c>
      <c r="C179" s="30" t="inlineStr">
        <is>
          <t>Комплектация</t>
        </is>
      </c>
      <c r="D179" s="30" t="inlineStr">
        <is>
          <t>Не скрывать возможное завышение. После подтверждения состава пересчитать чистую доплату.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C4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.44000053405762" customWidth="1" style="19" min="1" max="1"/>
    <col width="116.6699981689453" customWidth="1" style="19" min="2" max="2"/>
    <col width="73.33000183105469" customWidth="1" style="19" min="3" max="3"/>
  </cols>
  <sheetData>
    <row r="2" ht="30" customHeight="1" s="19">
      <c r="A2" s="46" t="inlineStr">
        <is>
          <t>Задача Клауду</t>
        </is>
      </c>
    </row>
    <row r="3" ht="24" customHeight="1" s="19">
      <c r="A3" s="45" t="inlineStr">
        <is>
          <t>Подключить к ИИ-агенту рабочие прайсы, локальный расчёт и правила нестандартных размеров.</t>
        </is>
      </c>
    </row>
    <row r="5" ht="44" customHeight="1" s="19">
      <c r="A5" s="23" t="inlineStr">
        <is>
          <t>Шаг</t>
        </is>
      </c>
      <c r="B5" s="23" t="inlineStr">
        <is>
          <t>Задача Клауду</t>
        </is>
      </c>
      <c r="C5" s="23" t="inlineStr">
        <is>
          <t>Приёмка</t>
        </is>
      </c>
    </row>
    <row r="6" ht="82" customHeight="1" s="19">
      <c r="A6" s="30" t="inlineStr">
        <is>
          <t>Подключение</t>
        </is>
      </c>
      <c r="B6" s="30" t="inlineStr">
        <is>
          <t>Использовать локальные прайсы и JSON для расчёта КП ИИ-агентом. Цены рабочие.</t>
        </is>
      </c>
      <c r="C6" s="30" t="inlineStr">
        <is>
          <t>Поиск цен в интернете не вызывается.</t>
        </is>
      </c>
    </row>
    <row r="7" ht="82" customHeight="1" s="19">
      <c r="A7" s="45" t="inlineStr">
        <is>
          <t>Обычный размер</t>
        </is>
      </c>
      <c r="B7" s="45" t="inlineStr">
        <is>
          <t>Точное совпадение с размерной сеткой той же модели даёт надбавку 0%.</t>
        </is>
      </c>
      <c r="C7" s="18" t="inlineStr">
        <is>
          <t>Стандарт не получает лишние 30%.</t>
        </is>
      </c>
    </row>
    <row r="8" ht="82" customHeight="1" s="19">
      <c r="A8" s="30" t="inlineStr">
        <is>
          <t>Нестандарт</t>
        </is>
      </c>
      <c r="B8" s="30" t="inlineStr">
        <is>
          <t>Любое отличие, включая уменьшение, даёт +30% к базе изделия.</t>
        </is>
      </c>
      <c r="C8" s="30" t="inlineStr">
        <is>
          <t>Коэффициент 1.30.</t>
        </is>
      </c>
    </row>
    <row r="9" ht="82" customHeight="1" s="19">
      <c r="A9" s="45" t="inlineStr">
        <is>
          <t>Большой размер</t>
        </is>
      </c>
      <c r="B9" s="45" t="inlineStr">
        <is>
          <t>Если ширина ИЛИ высота больше подходящего стандарта строго более чем на 30%, применять +100%.</t>
        </is>
      </c>
      <c r="C9" s="18" t="inlineStr">
        <is>
          <t>Коэффициент 2.00; ровно 30% остаётся в тарифе +30%.</t>
        </is>
      </c>
    </row>
    <row r="10" ht="82" customHeight="1" s="19">
      <c r="A10" s="30" t="inlineStr">
        <is>
          <t>Один тариф</t>
        </is>
      </c>
      <c r="B10" s="30" t="inlineStr">
        <is>
          <t>Выбирать одну надбавку: 0%, 30% или 100%.</t>
        </is>
      </c>
      <c r="C10" s="30" t="inlineStr">
        <is>
          <t>Не суммировать проценты между собой и за две оси.</t>
        </is>
      </c>
    </row>
    <row r="11" ht="82" customHeight="1" s="19">
      <c r="A11" s="45" t="inlineStr">
        <is>
          <t>База и компоненты</t>
        </is>
      </c>
      <c r="B11" s="45" t="inlineStr">
        <is>
          <t>Начислять надбавку на полотно, пару полотен или блок. Отдельные коробка, наличники, добор и порог сохраняют цену.</t>
        </is>
      </c>
      <c r="C11" s="18" t="inlineStr">
        <is>
          <t>У металлического блока коробка уже включена и добавляет 0.</t>
        </is>
      </c>
    </row>
    <row r="12" ht="82" customHeight="1" s="19">
      <c r="A12" s="30" t="inlineStr">
        <is>
          <t>Эталон</t>
        </is>
      </c>
      <c r="B12" s="30" t="inlineStr">
        <is>
          <t>Выбирать действительную пару Ш×В той же модели с наименьшим максимальным положительным увеличением. При равенстве — ближайшую по миллиметрам.</t>
        </is>
      </c>
      <c r="C12" s="30" t="inlineStr">
        <is>
          <t>Не смешивать ширину и высоту разных стандартов.</t>
        </is>
      </c>
    </row>
    <row r="13" ht="82" customHeight="1" s="19">
      <c r="A13" s="45" t="inlineStr">
        <is>
          <t>Размерное основание</t>
        </is>
      </c>
      <c r="B13" s="45" t="inlineStr">
        <is>
          <t>Различать полотно, блок, пару полотен, проём и чистый проход. В таблице Размеры порядок Ш×В, мм.</t>
        </is>
      </c>
      <c r="C13" s="18" t="inlineStr">
        <is>
          <t>Проём не переводится в полотно универсальным зазором.</t>
        </is>
      </c>
    </row>
    <row r="14" ht="82" customHeight="1" s="19">
      <c r="A14" s="30" t="inlineStr">
        <is>
          <t>Двупольные</t>
        </is>
      </c>
      <c r="B14" s="30" t="inlineStr">
        <is>
          <t>Пару полотен считать одной базовой позицией. Для нестандартной пары сравнивать также каждую створку.</t>
        </is>
      </c>
      <c r="C14" s="30" t="inlineStr">
        <is>
          <t>Двойная цена базы не начисляется.</t>
        </is>
      </c>
    </row>
    <row r="15" ht="82" customHeight="1" s="19">
      <c r="A15" s="45" t="inlineStr">
        <is>
          <t>Производство</t>
        </is>
      </c>
      <c r="B15" s="45" t="inlineStr">
        <is>
          <t>Для каждой нестандартной строки обязательно: «Нестандартные позиции подлежат уточнению на производстве.»</t>
        </is>
      </c>
      <c r="C15" s="18" t="inlineStr">
        <is>
          <t>Сумма рассчитывается сразу; КП с такой строкой обозначается предварительным.</t>
        </is>
      </c>
    </row>
    <row r="16" ht="82" customHeight="1" s="19">
      <c r="A16" s="30" t="inlineStr">
        <is>
          <t>Технические требования</t>
        </is>
      </c>
      <c r="B16" s="30" t="inlineStr">
        <is>
          <t>Не заменять E, EI, EIS и не обещать огнестойкость изменённой конструкции по одному названию.</t>
        </is>
      </c>
      <c r="C16" s="30" t="inlineStr">
        <is>
          <t>Для противопожарного нестандарта добавить уточнение размера и огнестойкости.</t>
        </is>
      </c>
    </row>
    <row r="17" ht="82" customHeight="1" s="19">
      <c r="A17" s="45" t="inlineStr">
        <is>
          <t>Разбор письма</t>
        </is>
      </c>
      <c r="B17" s="45" t="inlineStr">
        <is>
          <t>Извлечь модель, количество, единицу, размер, состав и требования. Сокращения ДМ-1, ДПГ и ДПО могут быть неоднозначны.</t>
        </is>
      </c>
      <c r="C17" s="18" t="inlineStr">
        <is>
          <t>При нескольких моделях уточнить различающий признак.</t>
        </is>
      </c>
    </row>
    <row r="18" ht="82" customHeight="1" s="19">
      <c r="A18" s="30" t="inlineStr">
        <is>
          <t>Отсутствующий тариф</t>
        </is>
      </c>
      <c r="B18" s="30" t="inlineStr">
        <is>
          <t>Нет товара или отдельной опции — вернуть вопрос. Нестандарт не создаёт цену СКУД, монтажа, доставки или новой модели.</t>
        </is>
      </c>
      <c r="C18" s="30" t="inlineStr">
        <is>
          <t>Рыночная цена и бесплатная опция не додумываются.</t>
        </is>
      </c>
    </row>
    <row r="19" ht="82" customHeight="1" s="19">
      <c r="A19" s="45" t="inlineStr">
        <is>
          <t>Код</t>
        </is>
      </c>
      <c r="B19" s="45" t="inlineStr">
        <is>
          <t>Использовать runtime/pricing.py, compile_catalog.py и data/catalog.json из комплекта. Денежные суммы в целых копейках.</t>
        </is>
      </c>
      <c r="C19" s="18" t="inlineStr">
        <is>
          <t>Арифметика выполняется обычным кодом.</t>
        </is>
      </c>
    </row>
    <row r="20" ht="82" customHeight="1" s="19">
      <c r="A20" s="30" t="inlineStr">
        <is>
          <t>Проверка</t>
        </is>
      </c>
      <c r="B20" s="30" t="inlineStr">
        <is>
          <t>Проверить 30% ровно, на 1 мм выше и ниже, обе оси, уменьшение и обычный стандарт.</t>
        </is>
      </c>
      <c r="C20" s="30" t="inlineStr">
        <is>
          <t>Полная задача и команды находятся в TASK_FOR_CLAUDE.md.</t>
        </is>
      </c>
    </row>
    <row r="21" ht="85" customHeight="1" s="19">
      <c r="A21" s="45" t="inlineStr">
        <is>
          <t>Новые тарифы</t>
        </is>
      </c>
      <c r="B21" s="45" t="inlineStr">
        <is>
          <t>Добавлены 6 моделей с рыночными базовыми ценами Москвы/МО и 6 позиций фурнитуры. Расчёт доставки исключён.</t>
        </is>
      </c>
      <c r="C21" s="18" t="inlineStr">
        <is>
          <t>Новые позиции рассчитываются предварительно с сохранением условий цены.</t>
        </is>
      </c>
    </row>
    <row r="22" ht="85" customHeight="1" s="19">
      <c r="A22" s="45" t="inlineStr">
        <is>
          <t>Фурнитура</t>
        </is>
      </c>
      <c r="B22" s="45" t="inlineStr">
        <is>
          <t>Поле options: ID тарифа и число упаковок/штук на одно изделие. Не начислять +30%/+100% на фурнитуру.</t>
        </is>
      </c>
      <c r="C22" s="18" t="inlineStr">
        <is>
          <t>Замок Punto уже включает ручки и цилиндр. Коробка готового блока включена.</t>
        </is>
      </c>
    </row>
    <row r="23" ht="85" customHeight="1" s="19">
      <c r="A23" s="45" t="inlineStr">
        <is>
          <t>Доставка</t>
        </is>
      </c>
      <c r="B23" s="45" t="inlineStr">
        <is>
          <t>Доставку не рассчитывать и не включать в стоимость КП.</t>
        </is>
      </c>
      <c r="C23" s="18" t="inlineStr">
        <is>
          <t>Доставка рассчитывается индивидуально.</t>
        </is>
      </c>
    </row>
    <row r="24" ht="85" customHeight="1" s="19">
      <c r="A24" s="45" t="inlineStr">
        <is>
          <t>Парный габарит</t>
        </is>
      </c>
      <c r="B24" s="45" t="inlineStr">
        <is>
          <t>overall_pair означает цену по общему габариту блока. Разбивка створок ещё требует проверки.</t>
        </is>
      </c>
      <c r="C24" s="18" t="inlineStr">
        <is>
          <t>Не обещать сертификат на 3000 мм и не считать его стандартом.</t>
        </is>
      </c>
    </row>
    <row r="25" ht="85" customHeight="1" s="19">
      <c r="A25" s="45" t="inlineStr">
        <is>
          <t>Маркировка</t>
        </is>
      </c>
      <c r="B25" s="45" t="inlineStr">
        <is>
          <t>Новые смысловые коды являются внутренними кодами поиска.</t>
        </is>
      </c>
      <c r="C25" s="18" t="inlineStr">
        <is>
          <t>Д1/Д8 и классы Мд3/М3 не превращать в характеристики без подтверждения.</t>
        </is>
      </c>
    </row>
    <row r="26" ht="85" customHeight="1" s="19">
      <c r="A26" s="45" t="inlineStr">
        <is>
          <t>Заявка Москва</t>
        </is>
      </c>
      <c r="B26" s="45" t="inlineStr">
        <is>
          <t>Проверено 136 строк: 60 дверей на трёх этажах, погонаж, артикулы фурнитуры и работы.</t>
        </is>
      </c>
      <c r="C26" s="18" t="inlineStr">
        <is>
          <t>Доставка, монтаж, установка доборов/доводчиков и разгрузка не оцениваются и не блокируют товарное КП.</t>
        </is>
      </c>
    </row>
    <row r="27" ht="85" customHeight="1" s="19">
      <c r="A27" s="45" t="inlineStr">
        <is>
          <t>Единицы погонажа</t>
        </is>
      </c>
      <c r="B27" s="45" t="inlineStr">
        <is>
          <t>Сохранять дробные количества 2,5/12,5/24,5/30,5 и исходную единицу продажи.</t>
        </is>
      </c>
      <c r="C27" s="18" t="inlineStr">
        <is>
          <t>Цену комплекта не применять за одну стойку. Не округлять количество.</t>
        </is>
      </c>
    </row>
    <row r="28" ht="85" customHeight="1" s="19">
      <c r="A28" s="45" t="inlineStr">
        <is>
          <t>Специальные исполнения</t>
        </is>
      </c>
      <c r="B28" s="45" t="inlineStr">
        <is>
          <t>ДПГУЧ 52 мм с обратной четвертью и АКВА 01 ПГ не заменять обычной ДПГ.</t>
        </is>
      </c>
      <c r="C28" s="18" t="inlineStr">
        <is>
          <t>Коды 45S3K/УПД не расшифровывать без подтверждения.</t>
        </is>
      </c>
    </row>
    <row r="29" ht="85" customHeight="1" s="19">
      <c r="A29" s="45" t="inlineStr">
        <is>
          <t>Точность комплекта</t>
        </is>
      </c>
      <c r="B29" s="45" t="inlineStr">
        <is>
          <t>Сопоставлять артикулы, материал, профиль, цвет, обработку и единицу.</t>
        </is>
      </c>
      <c r="C29" s="18" t="inlineStr">
        <is>
          <t>Кромка ПВХ не доказывает ПВХ-покрытие всего полотна.</t>
        </is>
      </c>
    </row>
    <row r="30" ht="85" customHeight="1" s="19">
      <c r="A30" s="45" t="inlineStr">
        <is>
          <t>Неполный расчёт</t>
        </is>
      </c>
      <c r="B30" s="45" t="inlineStr">
        <is>
          <t>Отсутствующая цена товара не равна нулю. Условный расчёт аналога не выдавать за полную сумму заказа.</t>
        </is>
      </c>
      <c r="C30" s="18" t="inlineStr">
        <is>
          <t>Монтаж и разгрузка уточняются у менеджера. Заводскую врезку проверять в составе изделия.</t>
        </is>
      </c>
    </row>
    <row r="31" ht="95" customHeight="1" s="19">
      <c r="A31" s="45" t="inlineStr">
        <is>
          <t>Санузловой блок ДС</t>
        </is>
      </c>
      <c r="B31" s="45" t="inlineStr">
        <is>
          <t>Для простого ДС 1 Рп/Рл Г предложен базовый INT-017: влагостойкий белый ДГ-1-Пульс.</t>
        </is>
      </c>
      <c r="C31" s="18" t="inlineStr">
        <is>
          <t>База 18020 + OPT-007 2780 + порог 1420 = 22220 руб. Без надбавки на три стандартных размера.</t>
        </is>
      </c>
    </row>
    <row r="32" ht="95" customHeight="1" s="19">
      <c r="A32" s="45" t="inlineStr">
        <is>
          <t>Размеры ДС</t>
        </is>
      </c>
      <c r="B32" s="45" t="inlineStr">
        <is>
          <t>700/800/900×2100 — стандартные заказные типоразмеры блока по проёму.</t>
        </is>
      </c>
      <c r="C32" s="18" t="inlineStr">
        <is>
          <t>Использовать сетку INT-017 с basis=opening. Не увеличивать цену за высоту 2100 относительно полотна 2000.</t>
        </is>
      </c>
    </row>
    <row r="33" ht="95" customHeight="1" s="19">
      <c r="A33" s="45" t="inlineStr">
        <is>
          <t>Пр, ПрБ и ЛБ</t>
        </is>
      </c>
      <c r="B33" s="45" t="inlineStr">
        <is>
          <t>Пр добавляет обычный порог; ПрБ исключает; По требует отдельного тарифа. ЛБ не расшифровывать.</t>
        </is>
      </c>
      <c r="C33" s="18" t="inlineStr">
        <is>
          <t>Для ЛБ предварительно предложить базовое исполнение с порогом и прямо указать допущение. Явную другую отделку автоматически не заменять.</t>
        </is>
      </c>
    </row>
    <row r="34" ht="95" customHeight="1" s="19">
      <c r="A34" s="45" t="inlineStr">
        <is>
          <t>Пятое письмо</t>
        </is>
      </c>
      <c r="B34" s="45" t="inlineStr">
        <is>
          <t>runtime/bathroom.py сохраняет все 5 строк и 14 блоков, марки и открывание.</t>
        </is>
      </c>
      <c r="C34" s="18" t="inlineStr">
        <is>
          <t>Предварительный итог 311080 руб., все 5 строк 0%. Сроки изготовления и адрес отгрузки уточняются у менеджера.</t>
        </is>
      </c>
    </row>
    <row r="35" ht="110" customHeight="1" s="19">
      <c r="A35" s="30" t="inlineStr">
        <is>
          <t>Письмо 686</t>
        </is>
      </c>
      <c r="B35" s="30" t="inlineStr">
        <is>
          <t>Полный предварительный расчёт: 16 строк, 686 блоков. 12 утверждённых сметных профилей.</t>
        </is>
      </c>
      <c r="C35" s="30" t="inlineStr">
        <is>
          <t>Использовать runtime/estimate.py. Данные из прайсов, размеры и допущения сохранять в результате.</t>
        </is>
      </c>
    </row>
    <row r="36" ht="110" customHeight="1" s="19">
      <c r="A36" s="30" t="inlineStr">
        <is>
          <t>Технический подбор</t>
        </is>
      </c>
      <c r="B36" s="30" t="inlineStr">
        <is>
          <t>requirements сохраняет все обязательные свойства клиента. Строгая проверка runtime/pricing.py не ослаблена.</t>
        </is>
      </c>
      <c r="C36" s="30" t="inlineStr">
        <is>
          <t>Сметный профиль оценивает предложенный состав, но не подтверждает сертификат или применимость конструкции.</t>
        </is>
      </c>
    </row>
    <row r="37" ht="110" customHeight="1" s="19">
      <c r="A37" s="30" t="inlineStr">
        <is>
          <t>МДФ и комплектация</t>
        </is>
      </c>
      <c r="B37" s="30" t="inlineStr">
        <is>
          <t>INT-008: база = INT-005 полотно + коробка. Наличники, добор и фурнитура отдельно.</t>
        </is>
      </c>
      <c r="C37" s="30" t="inlineStr">
        <is>
          <t>Мд1 и влагостойкость — требования заказа. В исходных данных выбранного изделия не подтверждены; в смете это явные допущения.</t>
        </is>
      </c>
    </row>
    <row r="38" ht="110" customHeight="1" s="19">
      <c r="A38" s="30" t="inlineStr">
        <is>
          <t>EIW и стекло</t>
        </is>
      </c>
      <c r="B38" s="30" t="inlineStr">
        <is>
          <t>OPT-019/020 — резерв полной замены стекла СМ4 EIW60/EIW30 по расчётной площади.</t>
        </is>
      </c>
      <c r="C38" s="30" t="inlineStr">
        <is>
          <t>Штатное стекло не вычиталось. Площадь выреза, изменения конструкции, огнестойкость всего блока и документы подтвердить.</t>
        </is>
      </c>
    </row>
    <row r="39" ht="110" customHeight="1" s="19">
      <c r="A39" s="30" t="inlineStr">
        <is>
          <t>Вентиляция</t>
        </is>
      </c>
      <c r="B39" s="30" t="inlineStr">
        <is>
          <t>OPT-018 — сметная оценка полного заводского узла EI30. MET-012 содержит вентиляцию в базе.</t>
        </is>
      </c>
      <c r="C39" s="30" t="inlineStr">
        <is>
          <t>Не дублировать вкладыш OPT-008 или вентиляцию MET-012. Самозаплавление, сечение и совместимость подтверждает производство.</t>
        </is>
      </c>
    </row>
    <row r="40" ht="110" customHeight="1" s="19">
      <c r="A40" s="30" t="inlineStr">
        <is>
          <t>Алюминиевые блоки</t>
        </is>
      </c>
      <c r="B40" s="30" t="inlineStr">
        <is>
          <t>ALU-003/004 неактивны: ориентир другого региона. ALU-005 и ALU-001 — предложенные аналоги; ALU-007 — расчётная тёплая база.</t>
        </is>
      </c>
      <c r="C40" s="30" t="inlineStr">
        <is>
          <t>Не переименовывать аналог в СИАЛ. СПД40, окраска, фрамуга и фурнитура заданы сметными профилями.</t>
        </is>
      </c>
    </row>
    <row r="41" ht="110" customHeight="1" s="19">
      <c r="A41" s="30" t="inlineStr">
        <is>
          <t>Подбор из XLSX</t>
        </is>
      </c>
      <c r="B41" s="30" t="inlineStr">
        <is>
          <t>Лист Подбор: синонимы, подтверждённые факты, примечания и условия цены. estimate_profiles — состав сметных комплектов.</t>
        </is>
      </c>
      <c r="C41" s="30" t="inlineStr">
        <is>
          <t>После правки обоих XLSX пересобрать data/catalog.json. Формулы составных цен — Дополнения, колонки M:O.</t>
        </is>
      </c>
    </row>
    <row r="42" ht="110" customHeight="1" s="19">
      <c r="A42" s="30" t="inlineStr">
        <is>
          <t>Размерные основания</t>
        </is>
      </c>
      <c r="B42" s="30" t="inlineStr">
        <is>
          <t>Исходные номиналы и размеры описания сохранять отдельно. Высота фрамуги 300 мм предложена только для сметы.</t>
        </is>
      </c>
      <c r="C42" s="30" t="inlineStr">
        <is>
          <t>Никакого универсального перевода проём → коробка → полотно. Строка 15: основной вариант 1050×2075, альтернатива 900×2100.</t>
        </is>
      </c>
    </row>
    <row r="43" ht="110" customHeight="1" s="19">
      <c r="A43" s="30" t="inlineStr">
        <is>
          <t>Отсутствующие цены</t>
        </is>
      </c>
      <c r="B43" s="30" t="inlineStr">
        <is>
          <t>OPT-009…017 оставлены неактивными составными запросами без точной заводской цены. Не подставлять 0.</t>
        </is>
      </c>
      <c r="C43" s="30" t="inlineStr">
        <is>
          <t>Для предварительной оценки использовать новые положительные тарифы и фиксированные профили, где есть полный оценённый состав.</t>
        </is>
      </c>
    </row>
    <row r="44" ht="110" customHeight="1" s="19">
      <c r="A44" s="30" t="inlineStr">
        <is>
          <t>Проверка 686</t>
        </is>
      </c>
      <c r="B44" s="30" t="inlineStr">
        <is>
          <t>Строгий запрос остаётся с уточнениями. Отдельный letter_686_estimate_input.json рассчитывает все 16 строк.</t>
        </is>
      </c>
      <c r="C44" s="30" t="inlineStr">
        <is>
          <t>Полный числовой итог предварительный. Сумма не заменяет согласование Мд1, влагостойкости, стекла, огнестойкости и спорных размеров.</t>
        </is>
      </c>
    </row>
    <row r="45" ht="120" customHeight="1" s="19">
      <c r="A45" s="30" t="inlineStr">
        <is>
          <t>Режим сметы</t>
        </is>
      </c>
      <c r="B45" s="30" t="inlineStr">
        <is>
          <t>Выбран владельцем прайса 17.10.2026: предварительная оценка по рыночной базе и комплектующим.</t>
        </is>
      </c>
      <c r="C45" s="30" t="inlineStr">
        <is>
          <t>В КП обязательно сохранить допущения и пометку об уточнении на производстве. Не выдавать за подтверждённую заводскую оферту.</t>
        </is>
      </c>
    </row>
    <row r="46" ht="120" customHeight="1" s="19">
      <c r="A46" s="30" t="inlineStr">
        <is>
          <t>Количество опций</t>
        </is>
      </c>
      <c r="B46" s="30" t="inlineStr">
        <is>
          <t>Штуки — положительное целое; м и м² — положительная десятичная строка до 6 знаков.</t>
        </is>
      </c>
      <c r="C46" s="30" t="inlineStr">
        <is>
          <t>Профиль сам рассчитывает площадь, длину и фурнитуру. Агент не может передавать цены или убирать обязательные опции.</t>
        </is>
      </c>
    </row>
    <row r="47" ht="120" customHeight="1" s="19">
      <c r="A47" s="30" t="inlineStr">
        <is>
          <t>Составные тарифы</t>
        </is>
      </c>
      <c r="B47" s="30" t="inlineStr">
        <is>
          <t>OPT-025 = 2 доводчика + 2 шпингалета + координатор. OPT-024 — разница двух цен W62.</t>
        </is>
      </c>
      <c r="C47" s="30" t="inlineStr">
        <is>
          <t>При изменении цены комплектующих пересчитать составные формулы и каталог. Не складывать комплект и его части.</t>
        </is>
      </c>
    </row>
    <row r="48" ht="120" customHeight="1" s="19">
      <c r="A48" s="30" t="inlineStr">
        <is>
          <t>Нестандарт</t>
        </is>
      </c>
      <c r="B48" s="30" t="inlineStr">
        <is>
          <t>Точный стандарт 0%. Любое отличие +30%; рост ширины или высоты строго более 30% — +100%.</t>
        </is>
      </c>
      <c r="C48" s="30" t="inlineStr">
        <is>
          <t>Надбавка только к базе, без сложения. Ровно 30% остаётся +30%. Всегда: Нестандартные позиции подлежат уточнению на производстве.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60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style="19" min="1" max="1"/>
    <col width="11.67000007629395" customWidth="1" style="19" min="2" max="2"/>
    <col width="40.56000137329102" customWidth="1" style="19" min="3" max="3"/>
    <col width="12.77999973297119" customWidth="1" style="19" min="4" max="4"/>
    <col width="14.4399995803833" customWidth="1" style="19" min="5" max="5"/>
    <col width="14.4399995803833" customWidth="1" style="19" min="6" max="6"/>
    <col width="26.67000007629395" customWidth="1" style="19" min="7" max="7"/>
    <col width="75.55999755859375" customWidth="1" style="19" min="8" max="8"/>
    <col width="94.44000244140625" customWidth="1" style="19" min="9" max="9"/>
    <col width="54.43999862670898" customWidth="1" style="19" min="10" max="10"/>
    <col width="57" customWidth="1" style="19" min="13" max="13"/>
    <col width="18" customWidth="1" style="19" min="14" max="14"/>
    <col width="54" customWidth="1" style="19" min="15" max="15"/>
  </cols>
  <sheetData>
    <row r="2" ht="30" customHeight="1" s="19">
      <c r="A2" s="46" t="inlineStr">
        <is>
          <t>Фурнитура. Рабочие тарифы</t>
        </is>
      </c>
    </row>
    <row r="3" ht="24" customHeight="1" s="19">
      <c r="A3" s="45" t="inlineStr">
        <is>
          <t>Количество фурнитуры задаётся на одно изделие. Надбавка за размер к ней не применяется.</t>
        </is>
      </c>
    </row>
    <row r="4"/>
    <row r="5" ht="44" customHeight="1" s="19">
      <c r="A5" s="23" t="inlineStr">
        <is>
          <t>ID тарифа</t>
        </is>
      </c>
      <c r="B5" s="23" t="inlineStr">
        <is>
          <t>Тип</t>
        </is>
      </c>
      <c r="C5" s="23" t="inlineStr">
        <is>
          <t>Наименование</t>
        </is>
      </c>
      <c r="D5" s="23" t="inlineStr">
        <is>
          <t>Единица</t>
        </is>
      </c>
      <c r="E5" s="23" t="inlineStr">
        <is>
          <t>Цена, руб.</t>
        </is>
      </c>
      <c r="F5" s="23" t="inlineStr">
        <is>
          <t>Статус</t>
        </is>
      </c>
      <c r="G5" s="23" t="inlineStr">
        <is>
          <t>Для моделей JSON</t>
        </is>
      </c>
      <c r="H5" s="23" t="inlineStr">
        <is>
          <t>Включено</t>
        </is>
      </c>
      <c r="I5" s="23" t="inlineStr">
        <is>
          <t>Уточнить</t>
        </is>
      </c>
      <c r="J5" s="23" t="inlineStr">
        <is>
          <t>Синонимы JSON</t>
        </is>
      </c>
    </row>
    <row r="6" ht="100" customHeight="1" s="19">
      <c r="A6" s="45" t="inlineStr">
        <is>
          <t>OPT-001</t>
        </is>
      </c>
      <c r="B6" s="45" t="inlineStr">
        <is>
          <t>option</t>
        </is>
      </c>
      <c r="C6" s="18" t="inlineStr">
        <is>
          <t>ECO SLIDING SET 1, до 60 кг</t>
        </is>
      </c>
      <c r="D6" s="18" t="inlineStr">
        <is>
          <t>piece</t>
        </is>
      </c>
      <c r="E6" s="49" t="n">
        <v>4200</v>
      </c>
      <c r="F6" s="18">
        <f>IF(ISNUMBER(E6),"priced","not_priced")</f>
        <v/>
      </c>
      <c r="G6" s="18" t="inlineStr">
        <is>
          <t>["INT-015"]</t>
        </is>
      </c>
      <c r="H6" s="18" t="inlineStr">
        <is>
          <t>Одна тарифная упаковка механизма для одной двери 500–1100 мм, до 60 кг.</t>
        </is>
      </c>
      <c r="I6" s="18" t="inlineStr">
        <is>
          <t>Подтвердить наличие направляющей нужной длины, креплений и нижнего поводка в выбранной поставке. Не считать один комплект роликов полной системой.</t>
        </is>
      </c>
      <c r="J6" s="18" t="inlineStr">
        <is>
          <t>["РМ-60","раздвижной механизм","откатной механизм","система купе"]</t>
        </is>
      </c>
    </row>
    <row r="7" ht="100" customHeight="1" s="19">
      <c r="A7" s="45" t="inlineStr">
        <is>
          <t>OPT-002</t>
        </is>
      </c>
      <c r="B7" s="45" t="inlineStr">
        <is>
          <t>option</t>
        </is>
      </c>
      <c r="C7" s="18" t="inlineStr">
        <is>
          <t>Armadillo SH010 URB SN-3, ручка-купе</t>
        </is>
      </c>
      <c r="D7" s="18" t="inlineStr">
        <is>
          <t>piece</t>
        </is>
      </c>
      <c r="E7" s="49" t="n">
        <v>1622</v>
      </c>
      <c r="F7" s="18">
        <f>IF(ISNUMBER(E7),"priced","not_priced")</f>
        <v/>
      </c>
      <c r="G7" s="18" t="inlineStr">
        <is>
          <t>["INT-015"]</t>
        </is>
      </c>
      <c r="H7" s="18" t="inlineStr">
        <is>
          <t>Одна тарифная упаковка врезной ручки-купе, матовый никель.</t>
        </is>
      </c>
      <c r="I7" s="18" t="inlineStr">
        <is>
          <t>Уточнить состав упаковки и требуемое число ручек на две стороны. Не удваивать цену автоматически.</t>
        </is>
      </c>
      <c r="J7" s="18" t="inlineStr">
        <is>
          <t>["РК-ВР","ручка купе","утопленная ручка","ручка для откатной двери"]</t>
        </is>
      </c>
    </row>
    <row r="8" ht="100" customHeight="1" s="19">
      <c r="A8" s="45" t="inlineStr">
        <is>
          <t>OPT-003</t>
        </is>
      </c>
      <c r="B8" s="45" t="inlineStr">
        <is>
          <t>option</t>
        </is>
      </c>
      <c r="C8" s="18" t="inlineStr">
        <is>
          <t>Punto LOCKSET16.CRONA.4070-1 SN</t>
        </is>
      </c>
      <c r="D8" s="18" t="inlineStr">
        <is>
          <t>piece</t>
        </is>
      </c>
      <c r="E8" s="49" t="n">
        <v>2124.54</v>
      </c>
      <c r="F8" s="18">
        <f>IF(ISNUMBER(E8),"priced","not_priced")</f>
        <v/>
      </c>
      <c r="G8" s="18" t="inlineStr">
        <is>
          <t>["INT-016","INT-018","INT-008"]</t>
        </is>
      </c>
      <c r="H8" s="18" t="inlineStr">
        <is>
          <t>Корпус врезного замка, цилиндр, ручки на планке, квадрат, ответная планка и крепёж.</t>
        </is>
      </c>
      <c r="I8" s="18" t="inlineStr">
        <is>
          <t>Для деревянных дверей до 40 мм. Не добавлять ручки и цилиндр повторно. Посадочные размеры и способ запирания подтвердить.</t>
        </is>
      </c>
      <c r="J8" s="18" t="inlineStr">
        <is>
          <t>["ЗВ-КТ-РЦ","врезной замок с ручками и цилиндром"]</t>
        </is>
      </c>
    </row>
    <row r="9" ht="100" customHeight="1" s="19">
      <c r="A9" s="45" t="inlineStr">
        <is>
          <t>OPT-004</t>
        </is>
      </c>
      <c r="B9" s="45" t="inlineStr">
        <is>
          <t>option</t>
        </is>
      </c>
      <c r="C9" s="18" t="inlineStr">
        <is>
          <t>Ajax RIM-200 code SN, кодовый накладной</t>
        </is>
      </c>
      <c r="D9" s="18" t="inlineStr">
        <is>
          <t>piece</t>
        </is>
      </c>
      <c r="E9" s="49" t="n">
        <v>5601.93</v>
      </c>
      <c r="F9" s="18">
        <f>IF(ISNUMBER(E9),"priced","not_priced")</f>
        <v/>
      </c>
      <c r="G9" s="18" t="inlineStr">
        <is>
          <t>["INT-016"]</t>
        </is>
      </c>
      <c r="H9" s="18" t="inlineStr">
        <is>
          <t>Накладной механический кодовый замок: кодовая панель снаружи, ручка с фиксатором внутри.</t>
        </is>
      </c>
      <c r="I9" s="18" t="inlineStr">
        <is>
          <t>Дверь 35–55 мм; автоматическая блокировка при захлопывании. Аварийное открывание именно ключом-вертушкой не подтверждено: согласовать, не подменять требование.</t>
        </is>
      </c>
      <c r="J9" s="18" t="inlineStr">
        <is>
          <t>["ЗН-КОД","накладной кодовый замок","механический кодовый замок"]</t>
        </is>
      </c>
    </row>
    <row r="10" ht="100" customHeight="1" s="19">
      <c r="A10" s="45" t="inlineStr">
        <is>
          <t>OPT-005</t>
        </is>
      </c>
      <c r="B10" s="45" t="inlineStr">
        <is>
          <t>option</t>
        </is>
      </c>
      <c r="C10" s="18" t="inlineStr">
        <is>
          <t>НОРА-М 3S мал., серый, арт. 4997</t>
        </is>
      </c>
      <c r="D10" s="18" t="inlineStr">
        <is>
          <t>piece</t>
        </is>
      </c>
      <c r="E10" s="49" t="n">
        <v>2631</v>
      </c>
      <c r="F10" s="18">
        <f>IF(ISNUMBER(E10),"priced","not_priced")</f>
        <v/>
      </c>
      <c r="G10" s="18" t="inlineStr">
        <is>
          <t>["INT-016","MET-007","MET-008"]</t>
        </is>
      </c>
      <c r="H10" s="18" t="inlineStr">
        <is>
          <t>Доводчик с малым рычагом, EN3-4; параметры по массе и ширине проверить.</t>
        </is>
      </c>
      <c r="I10" s="18" t="inlineStr">
        <is>
          <t>Серый близок к RAL 7004, это не RAL 7035. Точный цвет и наличие уточнить; не выдавать за исполнение RAL 7035.</t>
        </is>
      </c>
      <c r="J10" s="18" t="inlineStr">
        <is>
          <t>["ДВЧ-EN3/4-СЕР","доводчик серый","доводчик EN3 EN4"]</t>
        </is>
      </c>
    </row>
    <row r="11" ht="100" customHeight="1" s="19">
      <c r="A11" s="45" t="inlineStr">
        <is>
          <t>OPT-006</t>
        </is>
      </c>
      <c r="B11" s="45" t="inlineStr">
        <is>
          <t>option</t>
        </is>
      </c>
      <c r="C11" s="18" t="inlineStr">
        <is>
          <t>Петля IN4000U SN 100×70×2</t>
        </is>
      </c>
      <c r="D11" s="18" t="inlineStr">
        <is>
          <t>piece</t>
        </is>
      </c>
      <c r="E11" s="49" t="n">
        <v>123.54</v>
      </c>
      <c r="F11" s="18">
        <f>IF(ISNUMBER(E11),"priced","not_priced")</f>
        <v/>
      </c>
      <c r="G11" s="18" t="inlineStr">
        <is>
          <t>["INT-016","INT-018","INT-008"]</t>
        </is>
      </c>
      <c r="H11" s="18" t="inlineStr">
        <is>
          <t>Одна универсальная петля.</t>
        </is>
      </c>
      <c r="I11" s="18" t="inlineStr">
        <is>
          <t>Количество петель задаётся явно. При трёх петлях цена 370,62 руб.; несущая способность и врезка уточняются.</t>
        </is>
      </c>
      <c r="J11" s="18" t="inlineStr">
        <is>
          <t>["ПТ-УН","универсальная петля"]</t>
        </is>
      </c>
    </row>
    <row r="12" ht="100" customHeight="1" s="19">
      <c r="A12" s="45" t="inlineStr">
        <is>
          <t>OPT-007</t>
        </is>
      </c>
      <c r="B12" s="45" t="inlineStr">
        <is>
          <t>option</t>
        </is>
      </c>
      <c r="C12" s="18" t="inlineStr">
        <is>
          <t>Комплект фурнитуры ДГ-1-Пульс: замок, ручки, петли, цилиндр</t>
        </is>
      </c>
      <c r="D12" s="18" t="inlineStr">
        <is>
          <t>piece</t>
        </is>
      </c>
      <c r="E12" s="49" t="n">
        <v>2780</v>
      </c>
      <c r="F12" s="18">
        <f>IF(ISNUMBER(E12),"priced","not_priced")</f>
        <v/>
      </c>
      <c r="G12" s="18" t="inlineStr">
        <is>
          <t>["INT-017"]</t>
        </is>
      </c>
      <c r="H12" s="18" t="inlineStr">
        <is>
          <t>Один комплект: замок, гарнитур из нержавеющей стали, петли без врезки, цилиндр ключ/ключ.</t>
        </is>
      </c>
      <c r="I12" s="18" t="inlineStr">
        <is>
          <t>Комплект ключ/ключ — предложенный базовый вариант, не подтверждённая сантехническая завертка. Число петель, обработку и требуемый способ запирания согласовать. Ручки и цилиндр повторно не добавлять.</t>
        </is>
      </c>
      <c r="J12" s="18" t="inlineStr">
        <is>
          <t>["КТ-ФРН-ДГ1","комплект фурнитуры ДГ-1-Пульс"]</t>
        </is>
      </c>
    </row>
    <row r="13" ht="125" customHeight="1" s="19">
      <c r="A13" s="30" t="inlineStr">
        <is>
          <t>OPT-008</t>
        </is>
      </c>
      <c r="B13" s="30" t="inlineStr">
        <is>
          <t>option</t>
        </is>
      </c>
      <c r="C13" s="30" t="inlineStr">
        <is>
          <t>FIREFIX, огнестойкий вентиляционный вкладыш 100×100×40</t>
        </is>
      </c>
      <c r="D13" s="30" t="inlineStr">
        <is>
          <t>piece</t>
        </is>
      </c>
      <c r="E13" s="49" t="n">
        <v>1714</v>
      </c>
      <c r="F13" s="30">
        <f>IF(ISNUMBER(E13),"priced","not_priced")</f>
        <v/>
      </c>
      <c r="G13" s="30" t="inlineStr">
        <is>
          <t>["MET-005","MET-006"]</t>
        </is>
      </c>
      <c r="H13" s="30" t="inlineStr">
        <is>
          <t>Один интумесцентный вентиляционный вкладыш, 100×100×40 мм.</t>
        </is>
      </c>
      <c r="I13" s="30" t="inlineStr">
        <is>
          <t>Это только вкладыш, не готовая вентиляция в двери. Не включает наружные жалюзи, вырез, усиление и заводскую сборку. Для полного узла обязателен OPT-009; совместимость с дверью, свободное сечение и документы подтверждает производство.</t>
        </is>
      </c>
      <c r="J13" s="30" t="inlineStr">
        <is>
          <t>["ВР-СЗ-100-FIREFIX"]</t>
        </is>
      </c>
    </row>
    <row r="14" ht="125" customHeight="1" s="19">
      <c r="A14" s="30" t="inlineStr">
        <is>
          <t>OPT-009</t>
        </is>
      </c>
      <c r="B14" s="30" t="inlineStr">
        <is>
          <t>option</t>
        </is>
      </c>
      <c r="C14" s="30" t="inlineStr">
        <is>
          <t>Заводской узел самозаплавляющейся вентиляции: жалюзи, вырез, усиление, сборка</t>
        </is>
      </c>
      <c r="D14" s="30" t="inlineStr">
        <is>
          <t>piece</t>
        </is>
      </c>
      <c r="E14" s="49" t="n"/>
      <c r="F14" s="30">
        <f>IF(ISNUMBER(E14),"priced","not_priced")</f>
        <v/>
      </c>
      <c r="G14" s="30" t="inlineStr">
        <is>
          <t>["MET-005","MET-006"]</t>
        </is>
      </c>
      <c r="H14" s="30" t="inlineStr">
        <is>
          <t>Обработка и детали полного вентиляционного узла.</t>
        </is>
      </c>
      <c r="I14" s="30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Цена не опубликована. Вкладыш OPT-008 без этого тарифа не образует полное исполнение двери. Стоимость и допустимость конструкции уточнить на производстве. Это не монтаж двери на объекте.</t>
        </is>
      </c>
      <c r="J14" s="30" t="inlineStr">
        <is>
          <t>["СВ-ЗАВОД-УЗЕЛ"]</t>
        </is>
      </c>
    </row>
    <row r="15" ht="125" customHeight="1" s="19">
      <c r="A15" s="30" t="inlineStr">
        <is>
          <t>OPT-010</t>
        </is>
      </c>
      <c r="B15" s="30" t="inlineStr">
        <is>
          <t>option</t>
        </is>
      </c>
      <c r="C15" s="30" t="inlineStr">
        <is>
          <t>Стекло СМ4 в противопожарном блоке, подтверждение и изменение комплектации</t>
        </is>
      </c>
      <c r="D15" s="30" t="inlineStr">
        <is>
          <t>piece</t>
        </is>
      </c>
      <c r="E15" s="49" t="n"/>
      <c r="F15" s="30">
        <f>IF(ISNUMBER(E15),"priced","not_priced")</f>
        <v/>
      </c>
      <c r="G15" s="30" t="inlineStr">
        <is>
          <t>["MET-009","MET-010","MET-011"]</t>
        </is>
      </c>
      <c r="H15" s="30" t="inlineStr">
        <is>
          <t>Конкретное стекло и документы на требуемое исполнение.</t>
        </is>
      </c>
      <c r="I15" s="30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Публичной цены полного требуемого узла не найдено. EIW не доказывает СМ4. Не считать бесплатной опцией.</t>
        </is>
      </c>
      <c r="J15" s="30" t="inlineStr">
        <is>
          <t>["СТ-СМ4-ПП"]</t>
        </is>
      </c>
    </row>
    <row r="16" ht="125" customHeight="1" s="19">
      <c r="A16" s="30" t="inlineStr">
        <is>
          <t>OPT-011</t>
        </is>
      </c>
      <c r="B16" s="30" t="inlineStr">
        <is>
          <t>option</t>
        </is>
      </c>
      <c r="C16" s="30" t="inlineStr">
        <is>
          <t>EIW30: остекление до 50% и фрамуга вместо базового исполнения до 25%</t>
        </is>
      </c>
      <c r="D16" s="30" t="inlineStr">
        <is>
          <t>piece</t>
        </is>
      </c>
      <c r="E16" s="49" t="n"/>
      <c r="F16" s="30">
        <f>IF(ISNUMBER(E16),"priced","not_priced")</f>
        <v/>
      </c>
      <c r="G16" s="30" t="inlineStr">
        <is>
          <t>["MET-011"]</t>
        </is>
      </c>
      <c r="H16" s="30" t="inlineStr">
        <is>
          <t>Переработанное заводское исполнение EIW30 по проекту.</t>
        </is>
      </c>
      <c r="I16" s="30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Базовая цена MET-011 относится к остеклению до 25% без фрамуги. Цена изменённой конструкции и документы уточняются на производстве.</t>
        </is>
      </c>
      <c r="J16" s="30" t="inlineStr">
        <is>
          <t>["ДПСО-2-Ф-50-EIW30"]</t>
        </is>
      </c>
    </row>
    <row r="17" ht="125" customHeight="1" s="19">
      <c r="A17" s="30" t="inlineStr">
        <is>
          <t>OPT-012</t>
        </is>
      </c>
      <c r="B17" s="30" t="inlineStr">
        <is>
          <t>option</t>
        </is>
      </c>
      <c r="C17" s="30" t="inlineStr">
        <is>
          <t>СПД40 6М1зак-12-4М1-12-6Изак для алюминиевой двери</t>
        </is>
      </c>
      <c r="D17" s="30" t="inlineStr">
        <is>
          <t>piece</t>
        </is>
      </c>
      <c r="E17" s="49" t="n"/>
      <c r="F17" s="30">
        <f>IF(ISNUMBER(E17),"priced","not_priced")</f>
        <v/>
      </c>
      <c r="G17" s="30" t="inlineStr">
        <is>
          <t>["ALU-003","ALU-004","ALU-005"]</t>
        </is>
      </c>
      <c r="H17" s="30" t="inlineStr">
        <is>
          <t>Изменение заполнения на заданный стеклопакет.</t>
        </is>
      </c>
      <c r="I17" s="30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Опубликованные базовые цены не подтверждают эту формулу. В исходном письме одновременно написаны СПО40 и двухкамерный стеклопакет; сохранить формулу и уточнить обозначение.</t>
        </is>
      </c>
      <c r="J17" s="30" t="inlineStr">
        <is>
          <t>["СПД40-6ЗАК-12-4-12-6ИЗАК"]</t>
        </is>
      </c>
    </row>
    <row r="18" ht="125" customHeight="1" s="19">
      <c r="A18" s="30" t="inlineStr">
        <is>
          <t>OPT-013</t>
        </is>
      </c>
      <c r="B18" s="30" t="inlineStr">
        <is>
          <t>option</t>
        </is>
      </c>
      <c r="C18" s="30" t="inlineStr">
        <is>
          <t>RAL 7024 для алюминиевого блока вместо базового белого</t>
        </is>
      </c>
      <c r="D18" s="30" t="inlineStr">
        <is>
          <t>piece</t>
        </is>
      </c>
      <c r="E18" s="49" t="n"/>
      <c r="F18" s="30">
        <f>IF(ISNUMBER(E18),"priced","not_priced")</f>
        <v/>
      </c>
      <c r="G18" s="30" t="inlineStr">
        <is>
          <t>["ALU-003","ALU-004","ALU-005","ALU-006"]</t>
        </is>
      </c>
      <c r="H18" s="30" t="inlineStr">
        <is>
          <t>Окраска конкретного алюминиевого исполнения.</t>
        </is>
      </c>
      <c r="I18" s="30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Наличие RAL в палитре не доказывает включение цвета в базовую цену. Цена по согласованию.</t>
        </is>
      </c>
      <c r="J18" s="30" t="inlineStr">
        <is>
          <t>["АЛ-RAL7024"]</t>
        </is>
      </c>
    </row>
    <row r="19" ht="125" customHeight="1" s="19">
      <c r="A19" s="30" t="inlineStr">
        <is>
          <t>OPT-014</t>
        </is>
      </c>
      <c r="B19" s="30" t="inlineStr">
        <is>
          <t>option</t>
        </is>
      </c>
      <c r="C19" s="30" t="inlineStr">
        <is>
          <t>Фрамуга алюминиевого блока СИАЛ: изготовление и заполнение</t>
        </is>
      </c>
      <c r="D19" s="30" t="inlineStr">
        <is>
          <t>piece</t>
        </is>
      </c>
      <c r="E19" s="49" t="n"/>
      <c r="F19" s="30">
        <f>IF(ISNUMBER(E19),"priced","not_priced")</f>
        <v/>
      </c>
      <c r="G19" s="30" t="inlineStr">
        <is>
          <t>["ALU-003","ALU-004"]</t>
        </is>
      </c>
      <c r="H19" s="30" t="inlineStr">
        <is>
          <t>Фрамуга по проекту с нужным заполнением.</t>
        </is>
      </c>
      <c r="I19" s="30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Надбавка за общий размер не включает добавление фрамуги. Геометрия и цена узла уточняются на производстве.</t>
        </is>
      </c>
      <c r="J19" s="30" t="inlineStr">
        <is>
          <t>["АЛ-ФРАМУГА-ЗАВОД"]</t>
        </is>
      </c>
    </row>
    <row r="20" ht="125" customHeight="1" s="19">
      <c r="A20" s="30" t="inlineStr">
        <is>
          <t>OPT-015</t>
        </is>
      </c>
      <c r="B20" s="30" t="inlineStr">
        <is>
          <t>option</t>
        </is>
      </c>
      <c r="C20" s="30" t="inlineStr">
        <is>
          <t>Алюминиевый блок: порог, шпингалеты, координатор и доводчики по проекту</t>
        </is>
      </c>
      <c r="D20" s="30" t="inlineStr">
        <is>
          <t>piece</t>
        </is>
      </c>
      <c r="E20" s="49" t="n"/>
      <c r="F20" s="30">
        <f>IF(ISNUMBER(E20),"priced","not_priced")</f>
        <v/>
      </c>
      <c r="G20" s="30" t="inlineStr">
        <is>
          <t>["ALU-003","ALU-004","ALU-005"]</t>
        </is>
      </c>
      <c r="H20" s="30" t="inlineStr">
        <is>
          <t>Комплект дополнительных деталей по каждой створке.</t>
        </is>
      </c>
      <c r="I20" s="30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Точный состав, число доводчиков, масса створок и цена не установлены. Уже включённую фурнитуру повторно не считать. Монтаж на объекте не оценивается.</t>
        </is>
      </c>
      <c r="J20" s="30" t="inlineStr">
        <is>
          <t>["АЛ-ФРН-КОМПЛЕКТ"]</t>
        </is>
      </c>
    </row>
    <row r="21" ht="125" customHeight="1" s="19">
      <c r="A21" s="30" t="inlineStr">
        <is>
          <t>OPT-016</t>
        </is>
      </c>
      <c r="B21" s="30" t="inlineStr">
        <is>
          <t>option</t>
        </is>
      </c>
      <c r="C21" s="30" t="inlineStr">
        <is>
          <t>Алюминиевый блок: импост и замок ключ/завёртка</t>
        </is>
      </c>
      <c r="D21" s="30" t="inlineStr">
        <is>
          <t>piece</t>
        </is>
      </c>
      <c r="E21" s="49" t="n"/>
      <c r="F21" s="30">
        <f>IF(ISNUMBER(E21),"priced","not_priced")</f>
        <v/>
      </c>
      <c r="G21" s="30" t="inlineStr">
        <is>
          <t>["ALU-006"]</t>
        </is>
      </c>
      <c r="H21" s="30" t="inlineStr">
        <is>
          <t>Доработка глухого блока под импост и требуемое запирание.</t>
        </is>
      </c>
      <c r="I21" s="30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Цена изменённой конструкции не опубликована. Требуется проверка размеров и совместимости.</t>
        </is>
      </c>
      <c r="J21" s="30" t="inlineStr">
        <is>
          <t>["АЛ-Г-ИМПОСТ-КЛЗВ"]</t>
        </is>
      </c>
    </row>
    <row r="22" ht="125" customHeight="1" s="19">
      <c r="A22" s="30" t="inlineStr">
        <is>
          <t>OPT-017</t>
        </is>
      </c>
      <c r="B22" s="30" t="inlineStr">
        <is>
          <t>option</t>
        </is>
      </c>
      <c r="C22" s="30" t="inlineStr">
        <is>
          <t>Санузловой МДФ: влагостойкое исполнение и порог</t>
        </is>
      </c>
      <c r="D22" s="30" t="inlineStr">
        <is>
          <t>piece</t>
        </is>
      </c>
      <c r="E22" s="49" t="n"/>
      <c r="F22" s="30">
        <f>IF(ISNUMBER(E22),"priced","not_priced")</f>
        <v/>
      </c>
      <c r="G22" s="30" t="inlineStr">
        <is>
          <t>["INT-018"]</t>
        </is>
      </c>
      <c r="H22" s="30" t="inlineStr">
        <is>
          <t>Требуемое исполнение санузлового блока МДФ.</t>
        </is>
      </c>
      <c r="I22" s="30" t="inlineStr">
        <is>
          <t>НЕ ВЫБИРАТЬ В СМЕТЕ: составной запрос заменён явно оценёнными комплектующими и сметными профилями. Отдельная точная заводская цена отсутствует. Обычный МДФ автоматически не считается влагостойким. Порог INT-017 не переносить на другую модель. Тариф производства отсутствует.</t>
        </is>
      </c>
      <c r="J22" s="30" t="inlineStr">
        <is>
          <t>["ДС-МДФ-ВЛ-ПР"]</t>
        </is>
      </c>
    </row>
    <row r="23" ht="145" customHeight="1" s="19">
      <c r="A23" s="30" t="inlineStr">
        <is>
          <t>OPT-018</t>
        </is>
      </c>
      <c r="B23" s="30" t="inlineStr">
        <is>
          <t>option</t>
        </is>
      </c>
      <c r="C23" s="30" t="inlineStr">
        <is>
          <t>Полный огнестойкий вентиляционный узел, сметный ориентир</t>
        </is>
      </c>
      <c r="D23" s="30" t="inlineStr">
        <is>
          <t>piece</t>
        </is>
      </c>
      <c r="E23" s="49" t="n">
        <v>6500</v>
      </c>
      <c r="F23" s="30">
        <f>IF(ISNUMBER(E23),"priced","not_priced")</f>
        <v/>
      </c>
      <c r="G23" s="30" t="inlineStr">
        <is>
          <t>["MET-005","MET-006"]</t>
        </is>
      </c>
      <c r="H23" s="30" t="inlineStr">
        <is>
          <t>Один полный заводской вентиляционный узел в сметной оценке.</t>
        </is>
      </c>
      <c r="I23" s="30" t="inlineStr">
        <is>
          <t>Рыночный ориентир полного огнестойкого узла, не точная оферта на размер FIREFIX. Самозаплавляющееся заполнение, свободное сечение и совместимость подтверждает производство. Не добавлять OPT-008/009 повторно.</t>
        </is>
      </c>
      <c r="J23" s="30" t="inlineStr">
        <is>
          <t>["СВ-УЗЕЛ-СМЕТА"]</t>
        </is>
      </c>
    </row>
    <row r="24" ht="145" customHeight="1" s="19">
      <c r="A24" s="30" t="inlineStr">
        <is>
          <t>OPT-019</t>
        </is>
      </c>
      <c r="B24" s="30" t="inlineStr">
        <is>
          <t>option</t>
        </is>
      </c>
      <c r="C24" s="30" t="inlineStr">
        <is>
          <t>СМ4 EIW60, резерв на полную замену стекла</t>
        </is>
      </c>
      <c r="D24" s="30" t="inlineStr">
        <is>
          <t>m2</t>
        </is>
      </c>
      <c r="E24" s="49" t="n">
        <v>9900</v>
      </c>
      <c r="F24" s="30">
        <f>IF(ISNUMBER(E24),"priced","not_priced")</f>
        <v/>
      </c>
      <c r="G24" s="30" t="inlineStr">
        <is>
          <t>["MET-009","MET-010"]</t>
        </is>
      </c>
      <c r="H24" s="30" t="inlineStr">
        <is>
          <t>Стекло EIW60/СМ4 по площади.</t>
        </is>
      </c>
      <c r="I24" s="30" t="inlineStr">
        <is>
          <t>Резерв на полную замену остекления. В смете используется верхняя оценка 25% общей площади блока; стоимость штатного стекла не вычиталась, поскольку не раскрыта. Это запас, а не доплата производителя за класс СМ4. Применимость стекла в двери и стоимость изменения проёмов подтвердить.</t>
        </is>
      </c>
      <c r="J24" s="30" t="inlineStr">
        <is>
          <t>["СТ-СМ4-EIW60-РЕЗЕРВ"]</t>
        </is>
      </c>
    </row>
    <row r="25" ht="145" customHeight="1" s="19">
      <c r="A25" s="30" t="inlineStr">
        <is>
          <t>OPT-020</t>
        </is>
      </c>
      <c r="B25" s="30" t="inlineStr">
        <is>
          <t>option</t>
        </is>
      </c>
      <c r="C25" s="30" t="inlineStr">
        <is>
          <t>СМ4 EIW30, резерв на полную замену стекла</t>
        </is>
      </c>
      <c r="D25" s="30" t="inlineStr">
        <is>
          <t>m2</t>
        </is>
      </c>
      <c r="E25" s="49" t="n">
        <v>8700</v>
      </c>
      <c r="F25" s="30">
        <f>IF(ISNUMBER(E25),"priced","not_priced")</f>
        <v/>
      </c>
      <c r="G25" s="30" t="inlineStr">
        <is>
          <t>["MET-011"]</t>
        </is>
      </c>
      <c r="H25" s="30" t="inlineStr">
        <is>
          <t>Стекло EIW30/СМ4 по площади.</t>
        </is>
      </c>
      <c r="I25" s="30" t="inlineStr">
        <is>
          <t>Резерв по 50% общей площади блока, без зачёта нераскрытой цены штатного стекла. Не заявлять этот резерв точной заводской доплатой с 25% на 50%. Изменение конструкции и сертификацию уточнить.</t>
        </is>
      </c>
      <c r="J25" s="30" t="inlineStr">
        <is>
          <t>["СТ-СМ4-EIW30-РЕЗЕРВ"]</t>
        </is>
      </c>
    </row>
    <row r="26" ht="145" customHeight="1" s="19">
      <c r="A26" s="30" t="inlineStr">
        <is>
          <t>OPT-021</t>
        </is>
      </c>
      <c r="B26" s="30" t="inlineStr">
        <is>
          <t>option</t>
        </is>
      </c>
      <c r="C26" s="30" t="inlineStr">
        <is>
          <t>Верхняя глухая стальная фрамуга, сметный ориентир</t>
        </is>
      </c>
      <c r="D26" s="30" t="inlineStr">
        <is>
          <t>piece</t>
        </is>
      </c>
      <c r="E26" s="49" t="n">
        <v>3000</v>
      </c>
      <c r="F26" s="30">
        <f>IF(ISNUMBER(E26),"priced","not_priced")</f>
        <v/>
      </c>
      <c r="G26" s="30" t="inlineStr">
        <is>
          <t>["MET-011"]</t>
        </is>
      </c>
      <c r="H26" s="30" t="inlineStr">
        <is>
          <t>Один глухой верхний элемент в предварительной оценке.</t>
        </is>
      </c>
      <c r="I26" s="30" t="inlineStr">
        <is>
          <t>Ориентир верхней/боковой вставки в Москве. Для сметы принята глухая фрамуга высотой 300 мм; огнестойкое исполнение, узлы сопряжения и цена подтверждаются производством. Это не монтаж на объекте.</t>
        </is>
      </c>
      <c r="J26" s="30" t="inlineStr">
        <is>
          <t>["ФР-СТ-Г-СМЕТА"]</t>
        </is>
      </c>
    </row>
    <row r="27" ht="145" customHeight="1" s="19">
      <c r="A27" s="30" t="inlineStr">
        <is>
          <t>OPT-022</t>
        </is>
      </c>
      <c r="B27" s="30" t="inlineStr">
        <is>
          <t>option</t>
        </is>
      </c>
      <c r="C27" s="30" t="inlineStr">
        <is>
          <t>СПД40 6М1зак-12-4М1-12-6Изак, изготовление</t>
        </is>
      </c>
      <c r="D27" s="30" t="inlineStr">
        <is>
          <t>m2</t>
        </is>
      </c>
      <c r="E27" s="49">
        <f>N44+(N46-N47)/N48*N49+N50+N51</f>
        <v/>
      </c>
      <c r="F27" s="30">
        <f>IF(ISNUMBER(E27),"priced","not_priced")</f>
        <v/>
      </c>
      <c r="G27" s="30" t="inlineStr">
        <is>
          <t>["ALU-001","ALU-002","ALU-005","ALU-006","ALU-007"]</t>
        </is>
      </c>
      <c r="H27" s="30" t="inlineStr">
        <is>
          <t>Новый двухкамерный стеклопакет 40 мм заданной формулы.</t>
        </is>
      </c>
      <c r="I27" s="30" t="inlineStr">
        <is>
          <t>Расчёт тарифа: 2650+4×30+1510+2150=6430 руб./м². Для сметы площадь взята по полному габариту блока с запасом, без вычета профиля. Существующее стекло не зачтено, так как его цена не раскрыта. Это резерв на полную замену, не чистая доплата к СПД32. Карта стёкол и минимальные площади уточняются.</t>
        </is>
      </c>
      <c r="J27" s="30" t="inlineStr">
        <is>
          <t>["СПД40-6ЗАК-4-6ИЗАК"]</t>
        </is>
      </c>
    </row>
    <row r="28" ht="145" customHeight="1" s="19">
      <c r="A28" s="30" t="inlineStr">
        <is>
          <t>OPT-023</t>
        </is>
      </c>
      <c r="B28" s="30" t="inlineStr">
        <is>
          <t>option</t>
        </is>
      </c>
      <c r="C28" s="30" t="inlineStr">
        <is>
          <t>Порошковая окраска нового алюминиевого профиля RAL 7024</t>
        </is>
      </c>
      <c r="D28" s="30" t="inlineStr">
        <is>
          <t>m</t>
        </is>
      </c>
      <c r="E28" s="49" t="n">
        <v>130</v>
      </c>
      <c r="F28" s="30">
        <f>IF(ISNUMBER(E28),"priced","not_priced")</f>
        <v/>
      </c>
      <c r="G28" s="30" t="inlineStr">
        <is>
          <t>["ALU-001","ALU-002","ALU-005","ALU-006","ALU-007"]</t>
        </is>
      </c>
      <c r="H28" s="30" t="inlineStr">
        <is>
          <t>Окраска нового профиля по расчётной длине.</t>
        </is>
      </c>
      <c r="I28" s="30" t="inlineStr">
        <is>
          <t>Тариф для профиля с одной стороной сечения 50–100 мм. Длина в смете оценена по периметрам коробки, створок и импостам, без карты раскроя. Не применять к перекраске собранного блока. Окраска базового белого исполнения отдельно не вычиталась.</t>
        </is>
      </c>
      <c r="J28" s="30" t="inlineStr">
        <is>
          <t>["RAL7024-ПРОФ-130"]</t>
        </is>
      </c>
    </row>
    <row r="29" ht="145" customHeight="1" s="19">
      <c r="A29" s="30" t="inlineStr">
        <is>
          <t>OPT-024</t>
        </is>
      </c>
      <c r="B29" s="30" t="inlineStr">
        <is>
          <t>option</t>
        </is>
      </c>
      <c r="C29" s="30" t="inlineStr">
        <is>
          <t>Тёплая алюминиевая фрамуга, расчётный тариф по ширине</t>
        </is>
      </c>
      <c r="D29" s="30" t="inlineStr">
        <is>
          <t>m</t>
        </is>
      </c>
      <c r="E29" s="49">
        <f>(N53-N54)/(N55/1000)</f>
        <v/>
      </c>
      <c r="F29" s="30">
        <f>IF(ISNUMBER(E29),"priced","not_priced")</f>
        <v/>
      </c>
      <c r="G29" s="30" t="inlineStr">
        <is>
          <t>["ALU-001","ALU-002"]</t>
        </is>
      </c>
      <c r="H29" s="30" t="inlineStr">
        <is>
          <t>Дополнительная верхняя секция высотой 500 мм в ценовом эталоне.</t>
        </is>
      </c>
      <c r="I29" s="30" t="inlineStr">
        <is>
          <t>Расчётный ориентир: (91600−72300)/1,0=19300 руб./м ширины по двум московским предложениям W62 1000×2600 и 1000×2100. Для проекта принята высота 300 мм; тариф сохранён с запасом. Это аналоговый сметный расчёт, не отдельный тариф завода СИАЛ. Не добавлять к ALU-005, где фрамуга уже в базе.</t>
        </is>
      </c>
      <c r="J29" s="30" t="inlineStr">
        <is>
          <t>["ФР-АЛ-Т-СМЕТА"]</t>
        </is>
      </c>
    </row>
    <row r="30" ht="145" customHeight="1" s="19">
      <c r="A30" s="30" t="inlineStr">
        <is>
          <t>OPT-025</t>
        </is>
      </c>
      <c r="B30" s="30" t="inlineStr">
        <is>
          <t>option</t>
        </is>
      </c>
      <c r="C30" s="30" t="inlineStr">
        <is>
          <t>Дополнительная фурнитура двупольного алюминиевого блока</t>
        </is>
      </c>
      <c r="D30" s="30" t="inlineStr">
        <is>
          <t>piece</t>
        </is>
      </c>
      <c r="E30" s="49">
        <f>2*E34+2*E35+E36</f>
        <v/>
      </c>
      <c r="F30" s="30">
        <f>IF(ISNUMBER(E30),"priced","not_priced")</f>
        <v/>
      </c>
      <c r="G30" s="30" t="inlineStr">
        <is>
          <t>["ALU-005"]</t>
        </is>
      </c>
      <c r="H30" s="30" t="inlineStr">
        <is>
          <t>Два доводчика, два врезных шпингалета и один координатор.</t>
        </is>
      </c>
      <c r="I30" s="30" t="inlineStr">
        <is>
          <t>8000+879,28+3550=12429,28 руб. Базовые петли, ручки, замок и порог приняты в составе целого блока как сметное допущение, их состав подтвердить. Монтаж фурнитуры на объекте не включён. Черный цвет аксессуаров предложен для сметы, это не покраска всех деталей в RAL7024.</t>
        </is>
      </c>
      <c r="J30" s="30" t="inlineStr">
        <is>
          <t>["ФРН-АЛ-2-ДВЧ-ШП-КООР"]</t>
        </is>
      </c>
    </row>
    <row r="31" ht="145" customHeight="1" s="19">
      <c r="A31" s="30" t="inlineStr">
        <is>
          <t>OPT-026</t>
        </is>
      </c>
      <c r="B31" s="30" t="inlineStr">
        <is>
          <t>option</t>
        </is>
      </c>
      <c r="C31" s="30" t="inlineStr">
        <is>
          <t>Цилиндр Apecs SC-70-C-NI, ключ/завёртка</t>
        </is>
      </c>
      <c r="D31" s="30" t="inlineStr">
        <is>
          <t>piece</t>
        </is>
      </c>
      <c r="E31" s="49" t="n">
        <v>1070</v>
      </c>
      <c r="F31" s="30">
        <f>IF(ISNUMBER(E31),"priced","not_priced")</f>
        <v/>
      </c>
      <c r="G31" s="30" t="inlineStr">
        <is>
          <t>["ALU-007"]</t>
        </is>
      </c>
      <c r="H31" s="30" t="inlineStr">
        <is>
          <t>Один новый цилиндр ключ/завёртка.</t>
        </is>
      </c>
      <c r="I31" s="30" t="inlineStr">
        <is>
          <t>Ценовой эталон 70 мм (35/35). Фактическую длину, посадку и цвет согласовать. Замок и ручки повторно не добавляются: для сметы они приняты в базе блока.</t>
        </is>
      </c>
      <c r="J31" s="30" t="inlineStr">
        <is>
          <t>["ЦИЛ-КЛ-ЗВ-70"]</t>
        </is>
      </c>
    </row>
    <row r="32" ht="145" customHeight="1" s="19">
      <c r="A32" s="30" t="inlineStr">
        <is>
          <t>OPT-027</t>
        </is>
      </c>
      <c r="B32" s="30" t="inlineStr">
        <is>
          <t>option</t>
        </is>
      </c>
      <c r="C32" s="30" t="inlineStr">
        <is>
          <t>Цилиндр ключ/ключ, ценовой эталон Apecs SM-60-AB</t>
        </is>
      </c>
      <c r="D32" s="30" t="inlineStr">
        <is>
          <t>piece</t>
        </is>
      </c>
      <c r="E32" s="49" t="n">
        <v>1210</v>
      </c>
      <c r="F32" s="30">
        <f>IF(ISNUMBER(E32),"priced","not_priced")</f>
        <v/>
      </c>
      <c r="G32" s="30" t="inlineStr">
        <is>
          <t>["MET-005","MET-006","MET-009","MET-010","MET-011","MET-012","MET-013"]</t>
        </is>
      </c>
      <c r="H32" s="30" t="inlineStr">
        <is>
          <t>Один новый цилиндр ключ/ключ.</t>
        </is>
      </c>
      <c r="I32" s="30" t="inlineStr">
        <is>
          <t>Сметный ценовой эталон 60 мм, бронза. Длину, цвет и совместимость с конкретным противопожарным замком подтвердить. Не выдавать эту позицию за согласованный артикул на конкретную дверь. Цена штатного цилиндра не зачтена, так как не раскрыта.</t>
        </is>
      </c>
      <c r="J32" s="30" t="inlineStr">
        <is>
          <t>["ЦИЛ-КЛ-КЛ-СМЕТА"]</t>
        </is>
      </c>
    </row>
    <row r="33" ht="145" customHeight="1" s="19">
      <c r="A33" s="30" t="inlineStr">
        <is>
          <t>OPT-028</t>
        </is>
      </c>
      <c r="B33" s="30" t="inlineStr">
        <is>
          <t>option</t>
        </is>
      </c>
      <c r="C33" s="30" t="inlineStr">
        <is>
          <t>Punto METEOR, ручки с защёлкой без запирания</t>
        </is>
      </c>
      <c r="D33" s="30" t="inlineStr">
        <is>
          <t>piece</t>
        </is>
      </c>
      <c r="E33" s="49" t="n">
        <v>723</v>
      </c>
      <c r="F33" s="30">
        <f>IF(ISNUMBER(E33),"priced","not_priced")</f>
        <v/>
      </c>
      <c r="G33" s="30" t="inlineStr">
        <is>
          <t>["INT-008"]</t>
        </is>
      </c>
      <c r="H33" s="30" t="inlineStr">
        <is>
          <t>Две нажимные ручки и защёлка без ключа/фиксатора.</t>
        </is>
      </c>
      <c r="I33" s="30" t="inlineStr">
        <is>
          <t>Опубликованный ценовой ориентир; у продавца нет в наличии. Это бюджет на комплект, срок и цену доступного аналога подтвердить. Не добавлять одновременно полный замковый комплект OPT-003.</t>
        </is>
      </c>
      <c r="J33" s="30" t="inlineStr">
        <is>
          <t>["РЧ-ЗЩ-БЕЗ-ЗАП"]</t>
        </is>
      </c>
    </row>
    <row r="34" ht="145" customHeight="1" s="19">
      <c r="A34" s="30" t="inlineStr">
        <is>
          <t>OPT-029</t>
        </is>
      </c>
      <c r="B34" s="30" t="inlineStr">
        <is>
          <t>option</t>
        </is>
      </c>
      <c r="C34" s="30" t="inlineStr">
        <is>
          <t>Доводчик алюминиевой двери, сметный ценовой ориентир</t>
        </is>
      </c>
      <c r="D34" s="30" t="inlineStr">
        <is>
          <t>piece</t>
        </is>
      </c>
      <c r="E34" s="49" t="n">
        <v>4000</v>
      </c>
      <c r="F34" s="30">
        <f>IF(ISNUMBER(E34),"priced","not_priced")</f>
        <v/>
      </c>
      <c r="G34" s="30" t="inlineStr">
        <is>
          <t>["ALU-001","ALU-002","ALU-005","ALU-006","ALU-007"]</t>
        </is>
      </c>
      <c r="H34" s="30" t="inlineStr">
        <is>
          <t>Один доводчик без установки на объекте.</t>
        </is>
      </c>
      <c r="I34" s="30" t="inlineStr">
        <is>
          <t>Ценовой ориентир из московского предложения алюминиевого блока. Нагрузку, ширину створки, бренд и цвет согласовать. Не добавлять отдельно к комплекту OPT-025.</t>
        </is>
      </c>
      <c r="J34" s="30" t="inlineStr">
        <is>
          <t>["ДВЧ-АЛ-СМЕТА"]</t>
        </is>
      </c>
    </row>
    <row r="35" ht="145" customHeight="1" s="19">
      <c r="A35" s="30" t="inlineStr">
        <is>
          <t>OPT-030</t>
        </is>
      </c>
      <c r="B35" s="30" t="inlineStr">
        <is>
          <t>option</t>
        </is>
      </c>
      <c r="C35" s="30" t="inlineStr">
        <is>
          <t>ELEMENTIS ELM0451, врезной шпингалет чёрный</t>
        </is>
      </c>
      <c r="D35" s="30" t="inlineStr">
        <is>
          <t>piece</t>
        </is>
      </c>
      <c r="E35" s="49" t="n">
        <v>439.64</v>
      </c>
      <c r="F35" s="30">
        <f>IF(ISNUMBER(E35),"priced","not_priced")</f>
        <v/>
      </c>
      <c r="G35" s="30" t="inlineStr">
        <is>
          <t>["ALU-001","ALU-002","ALU-005","ALU-006","ALU-007"]</t>
        </is>
      </c>
      <c r="H35" s="30" t="inlineStr">
        <is>
          <t>Один шпингалет с ответной планкой и крепежом.</t>
        </is>
      </c>
      <c r="I35" s="30" t="inlineStr">
        <is>
          <t>Для двупольного блока в смете приняты два шпингалета. Артикул, посадку и цвет согласовать. Не добавлять отдельно к OPT-025.</t>
        </is>
      </c>
      <c r="J35" s="30" t="inlineStr">
        <is>
          <t>["ШП-АЛ-ВР-ЧЕРН"]</t>
        </is>
      </c>
    </row>
    <row r="36" ht="145" customHeight="1" s="19">
      <c r="A36" s="30" t="inlineStr">
        <is>
          <t>OPT-031</t>
        </is>
      </c>
      <c r="B36" s="30" t="inlineStr">
        <is>
          <t>option</t>
        </is>
      </c>
      <c r="C36" s="30" t="inlineStr">
        <is>
          <t>Координатор Синхрон KCK0001.06, чёрный</t>
        </is>
      </c>
      <c r="D36" s="30" t="inlineStr">
        <is>
          <t>piece</t>
        </is>
      </c>
      <c r="E36" s="49" t="n">
        <v>3550</v>
      </c>
      <c r="F36" s="30">
        <f>IF(ISNUMBER(E36),"priced","not_priced")</f>
        <v/>
      </c>
      <c r="G36" s="30" t="inlineStr">
        <is>
          <t>["ALU-001","ALU-002","ALU-005","ALU-006","ALU-007"]</t>
        </is>
      </c>
      <c r="H36" s="30" t="inlineStr">
        <is>
          <t>Один координатор очередности закрывания.</t>
        </is>
      </c>
      <c r="I36" s="30" t="inlineStr">
        <is>
          <t>Сметная оценка совместимости с выбранным блоком; материал и геометрию профиля подтвердить. У продавца цена обозначена без НДС; в общей смете налог отдельно не начислялся. Не добавлять к OPT-025 повторно.</t>
        </is>
      </c>
      <c r="J36" s="30" t="inlineStr">
        <is>
          <t>["КООР-АЛ-СИНХРОН"]</t>
        </is>
      </c>
    </row>
    <row r="37" ht="34" customHeight="1" s="19">
      <c r="B37" s="45" t="inlineStr">
        <is>
          <t>Доставка рассчитывается индивидуально.</t>
        </is>
      </c>
    </row>
    <row r="38" ht="34" customHeight="1" s="19">
      <c r="B38" s="45" t="inlineStr">
        <is>
          <t>Монтаж и разгрузка уточняются у менеджера.</t>
        </is>
      </c>
    </row>
    <row r="39" ht="34" customHeight="1" s="19">
      <c r="B39" s="45" t="inlineStr">
        <is>
          <t>Сметные тарифы OPT-018…031 применяются только в предварительной оценке. Точные характеристики подтверждает производство.</t>
        </is>
      </c>
    </row>
    <row r="40"/>
    <row r="41" ht="36" customHeight="1" s="19">
      <c r="M41" s="23" t="inlineStr">
        <is>
          <t>Расчёт составных цен</t>
        </is>
      </c>
      <c r="N41" s="23" t="inlineStr">
        <is>
          <t>Значение</t>
        </is>
      </c>
      <c r="O41" s="23" t="inlineStr">
        <is>
          <t>Единица / условие</t>
        </is>
      </c>
    </row>
    <row r="42"/>
    <row r="43"/>
    <row r="44" ht="36" customHeight="1" s="19">
      <c r="M44" s="18" t="inlineStr">
        <is>
          <t>Обычный двухкамерный пакет</t>
        </is>
      </c>
      <c r="N44" s="49" t="n">
        <v>2650</v>
      </c>
      <c r="O44" s="18" t="inlineStr">
        <is>
          <t>руб./м², эталон 24–32 мм</t>
        </is>
      </c>
    </row>
    <row r="45"/>
    <row r="46" ht="36" customHeight="1" s="19">
      <c r="M46" s="18" t="inlineStr">
        <is>
          <t>Требуемая толщина пакета</t>
        </is>
      </c>
      <c r="N46" s="49" t="n">
        <v>40</v>
      </c>
      <c r="O46" s="18" t="inlineStr">
        <is>
          <t>мм</t>
        </is>
      </c>
    </row>
    <row r="47" ht="36" customHeight="1" s="19">
      <c r="M47" s="18" t="inlineStr">
        <is>
          <t>Базовая толщина</t>
        </is>
      </c>
      <c r="N47" s="49" t="n">
        <v>32</v>
      </c>
      <c r="O47" s="18" t="inlineStr">
        <is>
          <t>мм</t>
        </is>
      </c>
    </row>
    <row r="48" ht="36" customHeight="1" s="19">
      <c r="M48" s="18" t="inlineStr">
        <is>
          <t>Шаг повышения толщины</t>
        </is>
      </c>
      <c r="N48" s="49" t="n">
        <v>2</v>
      </c>
      <c r="O48" s="18" t="inlineStr">
        <is>
          <t>мм</t>
        </is>
      </c>
    </row>
    <row r="49" ht="36" customHeight="1" s="19">
      <c r="M49" s="18" t="inlineStr">
        <is>
          <t>Доплата за шаг</t>
        </is>
      </c>
      <c r="N49" s="49" t="n">
        <v>30</v>
      </c>
      <c r="O49" s="18" t="inlineStr">
        <is>
          <t>руб./м²</t>
        </is>
      </c>
    </row>
    <row r="50" ht="36" customHeight="1" s="19">
      <c r="M50" s="18" t="inlineStr">
        <is>
          <t>Стекло 6 мм закалённое</t>
        </is>
      </c>
      <c r="N50" s="49" t="n">
        <v>1510</v>
      </c>
      <c r="O50" s="18" t="inlineStr">
        <is>
          <t>руб./м², замена одного стекла</t>
        </is>
      </c>
    </row>
    <row r="51" ht="36" customHeight="1" s="19">
      <c r="M51" s="18" t="inlineStr">
        <is>
          <t>Стекло 6И закалённое</t>
        </is>
      </c>
      <c r="N51" s="49" t="n">
        <v>2150</v>
      </c>
      <c r="O51" s="18" t="inlineStr">
        <is>
          <t>руб./м², замена одного стекла</t>
        </is>
      </c>
    </row>
    <row r="52"/>
    <row r="53" ht="36" customHeight="1" s="19">
      <c r="M53" s="18" t="inlineStr">
        <is>
          <t>W62 с верхней секцией 1000×2600</t>
        </is>
      </c>
      <c r="N53" s="49" t="n">
        <v>91600</v>
      </c>
      <c r="O53" s="18" t="inlineStr">
        <is>
          <t>руб., аналоговый ориентир</t>
        </is>
      </c>
    </row>
    <row r="54" ht="36" customHeight="1" s="19">
      <c r="M54" s="18" t="inlineStr">
        <is>
          <t>W62 без верхней секции 1000×2100</t>
        </is>
      </c>
      <c r="N54" s="49" t="n">
        <v>72300</v>
      </c>
      <c r="O54" s="18" t="inlineStr">
        <is>
          <t>руб., аналоговый ориентир</t>
        </is>
      </c>
    </row>
    <row r="55" ht="36" customHeight="1" s="19">
      <c r="M55" s="18" t="inlineStr">
        <is>
          <t>Ширина эталона верхней секции</t>
        </is>
      </c>
      <c r="N55" s="49" t="n">
        <v>1000</v>
      </c>
      <c r="O55" s="18" t="inlineStr">
        <is>
          <t>мм</t>
        </is>
      </c>
    </row>
    <row r="56" ht="36" customHeight="1" s="19">
      <c r="M56" s="18" t="inlineStr">
        <is>
          <t>Высота секции эталона</t>
        </is>
      </c>
      <c r="N56" s="49" t="n">
        <v>500</v>
      </c>
      <c r="O56" s="18" t="inlineStr">
        <is>
          <t>мм; в проектной смете предложено 300 мм</t>
        </is>
      </c>
    </row>
    <row r="57"/>
    <row r="58" ht="36" customHeight="1" s="19">
      <c r="M58" s="18" t="inlineStr">
        <is>
          <t>Тёплый алюминиевый блок</t>
        </is>
      </c>
      <c r="N58" s="49" t="n">
        <v>20000</v>
      </c>
      <c r="O58" s="18" t="inlineStr">
        <is>
          <t>руб./м², сметный ориентир</t>
        </is>
      </c>
    </row>
    <row r="59" ht="36" customHeight="1" s="19">
      <c r="M59" s="18" t="inlineStr">
        <is>
          <t>Ширина эталона ALU-007</t>
        </is>
      </c>
      <c r="N59" s="49" t="n">
        <v>900</v>
      </c>
      <c r="O59" s="18" t="inlineStr">
        <is>
          <t>мм</t>
        </is>
      </c>
    </row>
    <row r="60" ht="36" customHeight="1" s="19">
      <c r="M60" s="18" t="inlineStr">
        <is>
          <t>Высота эталона ALU-007</t>
        </is>
      </c>
      <c r="N60" s="49" t="n">
        <v>2100</v>
      </c>
      <c r="O60" s="18" t="inlineStr">
        <is>
          <t>мм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style="19" min="1" max="1"/>
    <col width="65" customWidth="1" style="19" min="2" max="2"/>
    <col width="90" customWidth="1" style="19" min="3" max="3"/>
    <col width="110" customWidth="1" style="19" min="4" max="4"/>
    <col width="100" customWidth="1" style="19" min="5" max="5"/>
  </cols>
  <sheetData>
    <row r="1">
      <c r="A1" s="45" t="inlineStr">
        <is>
          <t>Подбор моделей и условия цены</t>
        </is>
      </c>
    </row>
    <row r="2">
      <c r="A2" s="46" t="inlineStr">
        <is>
          <t>JSON для локального агента. Неизвестная характеристика не подтверждает требование клиента.</t>
        </is>
      </c>
    </row>
    <row r="4"/>
    <row r="5" ht="44" customHeight="1" s="19">
      <c r="A5" s="23" t="inlineStr">
        <is>
          <t>ID модели</t>
        </is>
      </c>
      <c r="B5" s="23" t="inlineStr">
        <is>
          <t>Синонимы JSON</t>
        </is>
      </c>
      <c r="C5" s="23" t="inlineStr">
        <is>
          <t>Характеристики JSON</t>
        </is>
      </c>
      <c r="D5" s="23" t="inlineStr">
        <is>
          <t>Примечания КП JSON</t>
        </is>
      </c>
      <c r="E5" s="23" t="inlineStr">
        <is>
          <t>Условия цены JSON</t>
        </is>
      </c>
    </row>
    <row r="6" ht="220" customHeight="1" s="19">
      <c r="A6" s="45" t="inlineStr">
        <is>
          <t>INT-001</t>
        </is>
      </c>
      <c r="B6" s="45" t="inlineStr">
        <is>
          <t>["Финская с четвертью ДПГ","ДПГ"]</t>
        </is>
      </c>
      <c r="C6" s="18" t="inlineStr">
        <is>
          <t>{}</t>
        </is>
      </c>
      <c r="D6" s="18" t="inlineStr">
        <is>
          <t>[]</t>
        </is>
      </c>
      <c r="E6" s="18" t="inlineStr">
        <is>
          <t>{}</t>
        </is>
      </c>
    </row>
    <row r="7" ht="220" customHeight="1" s="19">
      <c r="A7" s="45" t="inlineStr">
        <is>
          <t>INT-002</t>
        </is>
      </c>
      <c r="B7" s="45" t="inlineStr">
        <is>
          <t>["ДПГ усиленная","ДПГ"]</t>
        </is>
      </c>
      <c r="C7" s="18" t="inlineStr">
        <is>
          <t>{}</t>
        </is>
      </c>
      <c r="D7" s="18" t="inlineStr">
        <is>
          <t>[]</t>
        </is>
      </c>
      <c r="E7" s="18" t="inlineStr">
        <is>
          <t>{}</t>
        </is>
      </c>
    </row>
    <row r="8" ht="220" customHeight="1" s="19">
      <c r="A8" s="45" t="inlineStr">
        <is>
          <t>INT-003</t>
        </is>
      </c>
      <c r="B8" s="45" t="inlineStr">
        <is>
          <t>["ДПГ усиленная","ДПГ"]</t>
        </is>
      </c>
      <c r="C8" s="18" t="inlineStr">
        <is>
          <t>{}</t>
        </is>
      </c>
      <c r="D8" s="18" t="inlineStr">
        <is>
          <t>[]</t>
        </is>
      </c>
      <c r="E8" s="18" t="inlineStr">
        <is>
          <t>{}</t>
        </is>
      </c>
    </row>
    <row r="9" ht="220" customHeight="1" s="19">
      <c r="A9" s="45" t="inlineStr">
        <is>
          <t>INT-004</t>
        </is>
      </c>
      <c r="B9" s="45" t="inlineStr">
        <is>
          <t>["Т-01 ГОСТ"]</t>
        </is>
      </c>
      <c r="C9" s="18" t="inlineStr">
        <is>
          <t>{}</t>
        </is>
      </c>
      <c r="D9" s="18" t="inlineStr">
        <is>
          <t>[]</t>
        </is>
      </c>
      <c r="E9" s="18" t="inlineStr">
        <is>
          <t>{}</t>
        </is>
      </c>
    </row>
    <row r="10" ht="220" customHeight="1" s="19">
      <c r="A10" s="45" t="inlineStr">
        <is>
          <t>INT-005</t>
        </is>
      </c>
      <c r="B10" s="45" t="inlineStr">
        <is>
          <t>["ДПГ"]</t>
        </is>
      </c>
      <c r="C10" s="18" t="inlineStr">
        <is>
          <t>{}</t>
        </is>
      </c>
      <c r="D10" s="18" t="inlineStr">
        <is>
          <t>[]</t>
        </is>
      </c>
      <c r="E10" s="18" t="inlineStr">
        <is>
          <t>{}</t>
        </is>
      </c>
    </row>
    <row r="11" ht="220" customHeight="1" s="19">
      <c r="A11" s="45" t="inlineStr">
        <is>
          <t>INT-006</t>
        </is>
      </c>
      <c r="B11" s="45" t="inlineStr">
        <is>
          <t>["ДПО"]</t>
        </is>
      </c>
      <c r="C11" s="18" t="inlineStr">
        <is>
          <t>{}</t>
        </is>
      </c>
      <c r="D11" s="18" t="inlineStr">
        <is>
          <t>[]</t>
        </is>
      </c>
      <c r="E11" s="18" t="inlineStr">
        <is>
          <t>{}</t>
        </is>
      </c>
    </row>
    <row r="12" ht="220" customHeight="1" s="19">
      <c r="A12" s="45" t="inlineStr">
        <is>
          <t>INT-007</t>
        </is>
      </c>
      <c r="B12" s="45" t="inlineStr">
        <is>
          <t>["ДПО с иллюминатором","ДПО"]</t>
        </is>
      </c>
      <c r="C12" s="18" t="inlineStr">
        <is>
          <t>{}</t>
        </is>
      </c>
      <c r="D12" s="18" t="inlineStr">
        <is>
          <t>[]</t>
        </is>
      </c>
      <c r="E12" s="18" t="inlineStr">
        <is>
          <t>{}</t>
        </is>
      </c>
    </row>
    <row r="13" ht="220" customHeight="1" s="19">
      <c r="A13" s="45" t="inlineStr">
        <is>
          <t>INT-009</t>
        </is>
      </c>
      <c r="B13" s="45" t="inlineStr">
        <is>
          <t>["Гост Л-21 ПГ","ПГ"]</t>
        </is>
      </c>
      <c r="C13" s="18" t="inlineStr">
        <is>
          <t>{}</t>
        </is>
      </c>
      <c r="D13" s="18" t="inlineStr">
        <is>
          <t>[]</t>
        </is>
      </c>
      <c r="E13" s="18" t="inlineStr">
        <is>
          <t>{}</t>
        </is>
      </c>
    </row>
    <row r="14" ht="220" customHeight="1" s="19">
      <c r="A14" s="45" t="inlineStr">
        <is>
          <t>INT-010</t>
        </is>
      </c>
      <c r="B14" s="45" t="inlineStr">
        <is>
          <t>["ДПГ усиленная","ДПГ"]</t>
        </is>
      </c>
      <c r="C14" s="18" t="inlineStr">
        <is>
          <t>{}</t>
        </is>
      </c>
      <c r="D14" s="18" t="inlineStr">
        <is>
          <t>[]</t>
        </is>
      </c>
      <c r="E14" s="18" t="inlineStr">
        <is>
          <t>{}</t>
        </is>
      </c>
    </row>
    <row r="15" ht="220" customHeight="1" s="19">
      <c r="A15" s="45" t="inlineStr">
        <is>
          <t>INT-011</t>
        </is>
      </c>
      <c r="B15" s="45" t="inlineStr">
        <is>
          <t>["ДПГ ПВХ","ДПГ","ПВХ"]</t>
        </is>
      </c>
      <c r="C15" s="18" t="inlineStr">
        <is>
          <t>{}</t>
        </is>
      </c>
      <c r="D15" s="18" t="inlineStr">
        <is>
          <t>[]</t>
        </is>
      </c>
      <c r="E15" s="18" t="inlineStr">
        <is>
          <t>{}</t>
        </is>
      </c>
    </row>
    <row r="16" ht="220" customHeight="1" s="19">
      <c r="A16" s="45" t="inlineStr">
        <is>
          <t>INT-012</t>
        </is>
      </c>
      <c r="B16" s="45" t="inlineStr">
        <is>
          <t>["ДПО"]</t>
        </is>
      </c>
      <c r="C16" s="18" t="inlineStr">
        <is>
          <t>{}</t>
        </is>
      </c>
      <c r="D16" s="18" t="inlineStr">
        <is>
          <t>[]</t>
        </is>
      </c>
      <c r="E16" s="18" t="inlineStr">
        <is>
          <t>{}</t>
        </is>
      </c>
    </row>
    <row r="17" ht="220" customHeight="1" s="19">
      <c r="A17" s="45" t="inlineStr">
        <is>
          <t>INT-013</t>
        </is>
      </c>
      <c r="B17" s="45" t="inlineStr">
        <is>
          <t>["ДПГ CPL","ДПГ","CPL","ДВ CPL","ДВ 1Рп Г ПрБ","Дверной блок деревянный внутренний глухой однопольный"]</t>
        </is>
      </c>
      <c r="C17" s="18" t="inlineStr">
        <is>
          <t>{}</t>
        </is>
      </c>
      <c r="D17" s="18" t="inlineStr">
        <is>
          <t>[]</t>
        </is>
      </c>
      <c r="E17" s="18" t="inlineStr">
        <is>
          <t>{}</t>
        </is>
      </c>
    </row>
    <row r="18" ht="220" customHeight="1" s="19">
      <c r="A18" s="45" t="inlineStr">
        <is>
          <t>INT-014</t>
        </is>
      </c>
      <c r="B18" s="45" t="inlineStr">
        <is>
          <t>["ДПО CPL","ДПО","CPL"]</t>
        </is>
      </c>
      <c r="C18" s="18" t="inlineStr">
        <is>
          <t>{}</t>
        </is>
      </c>
      <c r="D18" s="18" t="inlineStr">
        <is>
          <t>[]</t>
        </is>
      </c>
      <c r="E18" s="18" t="inlineStr">
        <is>
          <t>{}</t>
        </is>
      </c>
    </row>
    <row r="19" ht="220" customHeight="1" s="19">
      <c r="A19" s="45" t="inlineStr">
        <is>
          <t>INT-019</t>
        </is>
      </c>
      <c r="B19" s="45" t="inlineStr">
        <is>
          <t>["ДПГ-0","ДПГ"]</t>
        </is>
      </c>
      <c r="C19" s="18" t="inlineStr">
        <is>
          <t>{}</t>
        </is>
      </c>
      <c r="D19" s="18" t="inlineStr">
        <is>
          <t>[]</t>
        </is>
      </c>
      <c r="E19" s="18" t="inlineStr">
        <is>
          <t>{}</t>
        </is>
      </c>
    </row>
    <row r="20" ht="220" customHeight="1" s="19">
      <c r="A20" s="45" t="inlineStr">
        <is>
          <t>INT-020</t>
        </is>
      </c>
      <c r="B20" s="45" t="inlineStr">
        <is>
          <t>["Модель-0 ПГ","ПГ"]</t>
        </is>
      </c>
      <c r="C20" s="18" t="inlineStr">
        <is>
          <t>{}</t>
        </is>
      </c>
      <c r="D20" s="18" t="inlineStr">
        <is>
          <t>[]</t>
        </is>
      </c>
      <c r="E20" s="18" t="inlineStr">
        <is>
          <t>{}</t>
        </is>
      </c>
    </row>
    <row r="21" ht="220" customHeight="1" s="19">
      <c r="A21" s="45" t="inlineStr">
        <is>
          <t>INT-021</t>
        </is>
      </c>
      <c r="B21" s="45" t="inlineStr">
        <is>
          <t>["ДДП Е-30","ДДП","Е-30"]</t>
        </is>
      </c>
      <c r="C21" s="18" t="inlineStr">
        <is>
          <t>{}</t>
        </is>
      </c>
      <c r="D21" s="18" t="inlineStr">
        <is>
          <t>[]</t>
        </is>
      </c>
      <c r="E21" s="18" t="inlineStr">
        <is>
          <t>{}</t>
        </is>
      </c>
    </row>
    <row r="22" ht="220" customHeight="1" s="19">
      <c r="A22" s="45" t="inlineStr">
        <is>
          <t>INT-022</t>
        </is>
      </c>
      <c r="B22" s="45" t="inlineStr">
        <is>
          <t>["ДДПО Е-30","ДДПО","Е-30"]</t>
        </is>
      </c>
      <c r="C22" s="18" t="inlineStr">
        <is>
          <t>{}</t>
        </is>
      </c>
      <c r="D22" s="18" t="inlineStr">
        <is>
          <t>[]</t>
        </is>
      </c>
      <c r="E22" s="18" t="inlineStr">
        <is>
          <t>{}</t>
        </is>
      </c>
    </row>
    <row r="23" ht="220" customHeight="1" s="19">
      <c r="A23" s="45" t="inlineStr">
        <is>
          <t>INT-023</t>
        </is>
      </c>
      <c r="B23" s="45" t="inlineStr">
        <is>
          <t>["ДДП Е-30 двухстворчатая","ДДП","Е-30"]</t>
        </is>
      </c>
      <c r="C23" s="18" t="inlineStr">
        <is>
          <t>{}</t>
        </is>
      </c>
      <c r="D23" s="18" t="inlineStr">
        <is>
          <t>[]</t>
        </is>
      </c>
      <c r="E23" s="18" t="inlineStr">
        <is>
          <t>{}</t>
        </is>
      </c>
    </row>
    <row r="24" ht="220" customHeight="1" s="19">
      <c r="A24" s="45" t="inlineStr">
        <is>
          <t>INT-024</t>
        </is>
      </c>
      <c r="B24" s="45" t="inlineStr">
        <is>
          <t>["ДДПО Е-30 двухстворчатая","ДДПО","Е-30"]</t>
        </is>
      </c>
      <c r="C24" s="18" t="inlineStr">
        <is>
          <t>{}</t>
        </is>
      </c>
      <c r="D24" s="18" t="inlineStr">
        <is>
          <t>[]</t>
        </is>
      </c>
      <c r="E24" s="18" t="inlineStr">
        <is>
          <t>{}</t>
        </is>
      </c>
    </row>
    <row r="25" ht="220" customHeight="1" s="19">
      <c r="A25" s="45" t="inlineStr">
        <is>
          <t>INT-025</t>
        </is>
      </c>
      <c r="B25" s="45" t="inlineStr">
        <is>
          <t>["ДПГ EI30","ДПГ","EI30"]</t>
        </is>
      </c>
      <c r="C25" s="18" t="inlineStr">
        <is>
          <t>{}</t>
        </is>
      </c>
      <c r="D25" s="18" t="inlineStr">
        <is>
          <t>[]</t>
        </is>
      </c>
      <c r="E25" s="18" t="inlineStr">
        <is>
          <t>{}</t>
        </is>
      </c>
    </row>
    <row r="26" ht="220" customHeight="1" s="19">
      <c r="A26" s="45" t="inlineStr">
        <is>
          <t>INT-026</t>
        </is>
      </c>
      <c r="B26" s="45" t="inlineStr">
        <is>
          <t>["ДПО EI30","ДПО","EI30"]</t>
        </is>
      </c>
      <c r="C26" s="18" t="inlineStr">
        <is>
          <t>{}</t>
        </is>
      </c>
      <c r="D26" s="18" t="inlineStr">
        <is>
          <t>[]</t>
        </is>
      </c>
      <c r="E26" s="18" t="inlineStr">
        <is>
          <t>{}</t>
        </is>
      </c>
    </row>
    <row r="27" ht="220" customHeight="1" s="19">
      <c r="A27" s="45" t="inlineStr">
        <is>
          <t>INT-027</t>
        </is>
      </c>
      <c r="B27" s="45" t="inlineStr">
        <is>
          <t>["ДПГ EI60","ДПГ","EI60"]</t>
        </is>
      </c>
      <c r="C27" s="18" t="inlineStr">
        <is>
          <t>{}</t>
        </is>
      </c>
      <c r="D27" s="18" t="inlineStr">
        <is>
          <t>[]</t>
        </is>
      </c>
      <c r="E27" s="18" t="inlineStr">
        <is>
          <t>{}</t>
        </is>
      </c>
    </row>
    <row r="28" ht="220" customHeight="1" s="19">
      <c r="A28" s="45" t="inlineStr">
        <is>
          <t>INT-028</t>
        </is>
      </c>
      <c r="B28" s="45" t="inlineStr">
        <is>
          <t>["ДПО EI60","ДПО","EI60"]</t>
        </is>
      </c>
      <c r="C28" s="18" t="inlineStr">
        <is>
          <t>{}</t>
        </is>
      </c>
      <c r="D28" s="18" t="inlineStr">
        <is>
          <t>[]</t>
        </is>
      </c>
      <c r="E28" s="18" t="inlineStr">
        <is>
          <t>{}</t>
        </is>
      </c>
    </row>
    <row r="29" ht="220" customHeight="1" s="19">
      <c r="A29" s="45" t="inlineStr">
        <is>
          <t>INT-029</t>
        </is>
      </c>
      <c r="B29" s="45" t="inlineStr">
        <is>
          <t>["ДПГ"]</t>
        </is>
      </c>
      <c r="C29" s="18" t="inlineStr">
        <is>
          <t>{}</t>
        </is>
      </c>
      <c r="D29" s="18" t="inlineStr">
        <is>
          <t>[]</t>
        </is>
      </c>
      <c r="E29" s="18" t="inlineStr">
        <is>
          <t>{}</t>
        </is>
      </c>
    </row>
    <row r="30" ht="220" customHeight="1" s="19">
      <c r="A30" s="45" t="inlineStr">
        <is>
          <t>INT-030</t>
        </is>
      </c>
      <c r="B30" s="45" t="inlineStr">
        <is>
          <t>["ДПО"]</t>
        </is>
      </c>
      <c r="C30" s="18" t="inlineStr">
        <is>
          <t>{}</t>
        </is>
      </c>
      <c r="D30" s="18" t="inlineStr">
        <is>
          <t>[]</t>
        </is>
      </c>
      <c r="E30" s="18" t="inlineStr">
        <is>
          <t>{}</t>
        </is>
      </c>
    </row>
    <row r="31" ht="220" customHeight="1" s="19">
      <c r="A31" s="45" t="inlineStr">
        <is>
          <t>INT-015</t>
        </is>
      </c>
      <c r="B31" s="45" t="inlineStr">
        <is>
          <t>["Модель-0 ПГ Ash White, полотно для раздвижной системы","ДР-1-Г-ЭШ-60","раздвижная глухая экошпон","купе экошпон","откатная глухая экошпон"]</t>
        </is>
      </c>
      <c r="C31" s="18" t="inlineStr">
        <is>
          <t>{"weight_kg":50,"thickness_mm":null,"surface":"smooth","opening_type":"sliding_candidate"}</t>
        </is>
      </c>
      <c r="D31" s="18" t="inlineStr">
        <is>
          <t>["Рыночная базовая цена для предварительного КП. Комплектация, применимость к проекту и итоговая цена исполнения подлежат уточнению."]</t>
        </is>
      </c>
      <c r="E31" s="18" t="inlineStr">
        <is>
          <t>{}</t>
        </is>
      </c>
    </row>
    <row r="32" ht="220" customHeight="1" s="19">
      <c r="A32" s="45" t="inlineStr">
        <is>
          <t>INT-016</t>
        </is>
      </c>
      <c r="B32" s="45" t="inlineStr">
        <is>
          <t>["ДОРС ГШП, глухое грунтованное полотно","ДГ-ГР","ДВ-1-Г-ГР","ГШП грунт","грунтованная щитовая дверь","полотно под покраску"]</t>
        </is>
      </c>
      <c r="C32" s="18" t="inlineStr">
        <is>
          <t>{"thickness_mm":40,"surface":"smooth","opening_type":"swing","strength_class":null}</t>
        </is>
      </c>
      <c r="D32" s="18" t="inlineStr">
        <is>
          <t>["Рыночная базовая цена для предварительного КП. Комплектация, применимость к проекту и итоговая цена исполнения подлежат уточнению."]</t>
        </is>
      </c>
      <c r="E32" s="18" t="inlineStr">
        <is>
          <t>{}</t>
        </is>
      </c>
    </row>
    <row r="33" ht="409" customHeight="1" s="19">
      <c r="A33" s="45" t="inlineStr">
        <is>
          <t>INT-017</t>
        </is>
      </c>
      <c r="B33" s="45" t="inlineStr">
        <is>
          <t>["ДС","ДС-1-Г-ВЛ-ПВХ","ДГ-1-Пульс","влагостойкий санузловой блок","санузловая глухая дверь"]</t>
        </is>
      </c>
      <c r="C33" s="18" t="inlineStr">
        <is>
          <t>{"moisture_resistant":true,"opening_type":"swing","handing":"universal","frame_width_mm":80,"facing_thickness_mm":1.5,"nominal_opening_to_leaf":[{"opening_width_mm":700,"opening_height_mm":2100,"leaf_width_mm":600,"leaf_height_mm":2000},{"opening_width_mm":800,"opening_height_mm":2100,"leaf_width_mm":700,"leaf_height_mm":2000},{"opening_width_mm":900,"opening_height_mm":2100,"leaf_width_mm":800,"leaf_height_mm":2000}]}</t>
        </is>
      </c>
      <c r="D33" s="18" t="inlineStr">
        <is>
          <t>["Предложен базовый вариант санузлового блока: ДГ-1-Пульс, глухой, влагостойкий, белый ПВХ RAL 9016. Исполнение и соответствие проекту подлежат согласованию.","Размер указан как стандартный заказной типоразмер блока по проёму. Фактические габариты коробки уточняются при изготовлении.","Рыночная цена предварительная; сроки изготовления и адрес отгрузки уточняются у менеджера."]</t>
        </is>
      </c>
      <c r="E33" s="18" t="inlineStr">
        <is>
          <t>{}</t>
        </is>
      </c>
    </row>
    <row r="34">
      <c r="A34" s="45" t="inlineStr">
        <is>
          <t>INT-018</t>
        </is>
      </c>
      <c r="B34" s="45" t="inlineStr">
        <is>
          <t>["Верда Техно ДГ Белый, МДФ в полипропилене","ДМ-1-Г-МДФ-PP-ТЕХНО"]</t>
        </is>
      </c>
      <c r="C34" s="18" t="inlineStr">
        <is>
          <t>{"color":"Белый","facing_material":"МДФ","mechanical_class":null,"moisture_resistant":null,"thickness_mm":null,"transom":false,"opening_type":"swing","component_bundles":{"frame":{"pieces":3,"piece_price_rub":770,"profile":"26×70×2070"},"trim":{"pieces":5,"piece_price_rub":470,"profile":"80×8×2150"},"extension":{"pieces":3,"piece_price_rub":510,"width_mm":100}}}</t>
        </is>
      </c>
      <c r="D34" s="18" t="inlineStr">
        <is>
          <t>["Предварительная цена опубликованной базовой комплектации. Соответствие проекту, документы, наличие и цена изменённого исполнения подлежат согласованию.","Белый базовый вариант. Мд1 и пригодность для санузла документально не подтверждены. Коробка: 3 стойки 770 руб.; наличники: 5 планок 470 руб.; доборы 100 мм: 3 планки 510 руб. Это предложенный комплект; ширину доборов, раскрой и фактические размеры полотна согласовать. Проём 21-8/21-9 автоматически в полотно не переводится."]</t>
        </is>
      </c>
      <c r="E34" s="18" t="inlineStr">
        <is>
          <t>{"status":"preliminary_market","reference_date":"2026-10-17","price_scope":"listed_configuration","tax":"as_published"}</t>
        </is>
      </c>
    </row>
    <row r="35">
      <c r="A35" s="30" t="inlineStr">
        <is>
          <t>INT-008</t>
        </is>
      </c>
      <c r="B35" s="30" t="inlineStr">
        <is>
          <t>["ДМ/ДС-1-Г-МДФ-CPL, сметный заказной блок","ДМ-1-МДФ-Мд1-СМЕТА","ДС-1-МДФ-Мд1-СМЕТА"]</t>
        </is>
      </c>
      <c r="C35" s="30" t="inlineStr">
        <is>
          <t>{"facing_material":"МДФ","mechanical_class":null,"moisture_resistant":null,"opening_type":"swing"}</t>
        </is>
      </c>
      <c r="D35" s="30" t="inlineStr">
        <is>
          <t>["Сметная комплектация из прайса. Требования Мд1 и влагостойкости не подтверждены документами на выбранный блок.","Наличники и добор взяты одним тарифным комплектом из прайса; ширина добора и раскрой уточняются."]</t>
        </is>
      </c>
      <c r="E35" s="30" t="inlineStr">
        <is>
          <t>{"status":"calculated_market_estimate","estimate_only":true,"price_scope":"proposed_order_configuration","reference_date":"2026-10-17","base_derivation":{"product_id":"INT-005","components":["base","frame"]},"tax":"as_listed","estimate_profiles":[{"profile_id":"MDF-HANDLE","name":"МДФ/CPL, без порога, ручки с защёлкой","target_requirements":{"leaf_count":1,"glazing":"solid","technical":{"mechanical_class":"Мд1","facing_material":"МДФ"}},"components":["base","trim","extension"],"options":[{"tariff_id":"OPT-006","measure":"fixed","value":"3"},{"tariff_id":"OPT-028","measure":"fixed","value":"1"}],"assumptions":["Для сметы предложен белый CPL по МДФ. Отделка в письме не задана.","Мд1 — требование заказа; подтверждение класса и полного комплекта запрашивается у производства.","Номинальные 700/800/900×2100 приняты стандартными заказными размерами блока. Физический размер полотна и коробки не вычислялся.","Добор и наличники приняты по одному тарифному комплекту действующего прайса. Ширину добора и раскрой уточнить."]},{"profile_id":"MDF-LOCK","name":"МДФ/CPL, без порога, с замком","target_requirements":{"leaf_count":1,"glazing":"solid","technical":{"mechanical_class":"Мд1","facing_material":"МДФ"}},"components":["base","trim","extension"],"options":[{"tariff_id":"OPT-006","measure":"fixed","value":"3"},{"tariff_id":"OPT-003","measure":"fixed","value":"1"}],"assumptions":["Для сметы предложен белый CPL по МДФ. Отделка в письме не задана.","Мд1 — требование заказа; подтверждение класса и полного комплекта запрашивается у производства.","Номинальные 700/800/900×2100 приняты стандартными заказными размерами блока. Физический размер полотна и коробки не вычислялся.","Добор и наличники приняты по одному тарифному комплекту действующего прайса. Ширину добора и раскрой уточнить."]},{"profile_id":"MDF-WET","name":"Санузловой МДФ/CPL с обычным порогом и замком","target_requirements":{"leaf_count":1,"glazing":"solid","technical":{"mechanical_class":"Мд1","facing_material":"МДФ","moisture_resistant":true}},"components":["base","trim","extension","threshold"],"options":[{"tariff_id":"OPT-006","measure":"fixed","value":"3"},{"tariff_id":"OPT-003","measure":"fixed","value":"1"}],"assumptions":["Для сметы предложен белый CPL по МДФ. Отделка в письме не задана.","Мд1 — требование заказа; подтверждение класса и полного комплекта запрашивается у производства.","Номинальные 700/800/900×2100 приняты стандартными заказными размерами блока. Физический размер полотна и коробки не вычислялся.","Добор и наличники приняты по одному тарифному комплекту действующего прайса. Ширину добора и раскрой уточнить.","Влагостойкость всего блока и обычный порог рассматриваются как требуемое заказное исполнение. Смета основана на стандартном МДФ/CPL-комплекте; производство может изменить состав и цену. Это не подтверждение влагостойкости испытанного изделия."]}]}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2026-10-16T14:58:07Z</dcterms:created>
  <dcterms:modified xmlns:dcterms="http://purl.org/dc/terms/" xmlns:xsi="http://www.w3.org/2001/XMLSchema-instance" xsi:type="dcterms:W3CDTF">2026-10-18T19:21:09Z</dcterms:modified>
  <cp:lastModifiedBy>rfdveri@hotmail.com</cp:lastModifiedBy>
  <cp:revision>0</cp:revision>
</cp:coreProperties>
</file>